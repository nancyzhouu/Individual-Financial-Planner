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richPivotRecords1.xml" ContentType="application/vnd.openxmlformats-officedocument.spreadsheetml.richPivot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https://uofwaterloo-my.sharepoint.com/personal/n43zhou_uwaterloo_ca/Documents/"/>
    </mc:Choice>
  </mc:AlternateContent>
  <xr:revisionPtr revIDLastSave="0" documentId="8_{B5FA8C2E-ED3E-470E-A29D-470944B20989}" xr6:coauthVersionLast="47" xr6:coauthVersionMax="47" xr10:uidLastSave="{00000000-0000-0000-0000-000000000000}"/>
  <bookViews>
    <workbookView xWindow="28680" yWindow="360" windowWidth="25440" windowHeight="15270" firstSheet="1" activeTab="6" xr2:uid="{00000000-000D-0000-FFFF-FFFF00000000}"/>
  </bookViews>
  <sheets>
    <sheet name="Dashboard" sheetId="6" r:id="rId1"/>
    <sheet name="Income &amp; Expenses Tracker" sheetId="7" r:id="rId2"/>
    <sheet name="Investments Tracker" sheetId="5" r:id="rId3"/>
    <sheet name="Financial Filter" sheetId="11" r:id="rId4"/>
    <sheet name="Goals" sheetId="9" r:id="rId5"/>
    <sheet name="Pivot Tables" sheetId="12" r:id="rId6"/>
    <sheet name="Financial Advice" sheetId="10" r:id="rId7"/>
  </sheets>
  <definedNames>
    <definedName name="_xleta.STOCKHISTORY" hidden="1" xlm="1">#NAME?</definedName>
    <definedName name="_xleta.SUM" hidden="1" xlm="1">#NAME?</definedName>
    <definedName name="Slicer_Account">#N/A</definedName>
    <definedName name="Slicer_Account_Deposited">#N/A</definedName>
    <definedName name="Slicer_Account_Used">#N/A</definedName>
    <definedName name="Slicer_Asset_Type">#N/A</definedName>
    <definedName name="Slicer_Asset_Type1">#N/A</definedName>
    <definedName name="Slicer_Category">#N/A</definedName>
    <definedName name="Slicer_Category1">#N/A</definedName>
    <definedName name="Slicer_Category2">#N/A</definedName>
    <definedName name="Slicer_Months__Date">#N/A</definedName>
    <definedName name="Slicer_Risk_Level">#N/A</definedName>
    <definedName name="Slicer_Risk_Level1">#N/A</definedName>
    <definedName name="Slicer_Sector___Industry">#N/A</definedName>
    <definedName name="Slicer_Sector___Industry1">#N/A</definedName>
    <definedName name="Slicer_Source">#N/A</definedName>
  </definedNames>
  <calcPr calcId="191028"/>
  <pivotCaches>
    <pivotCache cacheId="0" r:id="rId8"/>
    <pivotCache cacheId="1" r:id="rId9"/>
    <pivotCache cacheId="2" r:id="rId10"/>
    <pivotCache cacheId="3" r:id="rId11"/>
    <pivotCache cacheId="4"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5" l="1"/>
  <c r="G6" i="5"/>
  <c r="G5" i="5"/>
  <c r="G3" i="9"/>
  <c r="G4" i="5"/>
  <c r="G3" i="5"/>
  <c r="H4" i="5" a="1"/>
  <c r="H7" i="5" a="1"/>
  <c r="H5" i="5" a="1"/>
  <c r="H3" i="5" a="1"/>
  <c r="H6" i="5" a="1"/>
  <c r="H7" i="5" l="1"/>
  <c r="I7" i="5" s="1"/>
  <c r="M7" i="5" s="1"/>
  <c r="H5" i="5"/>
  <c r="I5" i="5" s="1"/>
  <c r="M5" i="5" s="1"/>
  <c r="H3" i="5"/>
  <c r="I3" i="5" s="1"/>
  <c r="M3" i="5" s="1"/>
  <c r="H6" i="5"/>
  <c r="I6" i="5" s="1"/>
  <c r="M6" i="5" s="1"/>
  <c r="H4" i="5"/>
  <c r="I4" i="5" s="1"/>
  <c r="M4"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6829A7-E08B-4E23-B043-CDAA1897788A}" keepAlive="1" name="Query - Expenses" description="Connection to the 'Expenses' query in the workbook." type="5" refreshedVersion="0" background="1" saveData="1">
    <dbPr connection="Provider=Microsoft.Mashup.OleDb.1;Data Source=$Workbook$;Location=Expenses;Extended Properties=&quot;&quot;" command="SELECT * FROM [Expenses]"/>
  </connection>
  <connection id="2" xr16:uid="{1C4F20EC-7A7A-4075-A287-41807F0511C3}" keepAlive="1" name="Query - Income" description="Connection to the 'Income' query in the workbook." type="5" refreshedVersion="0" background="1" saveData="1">
    <dbPr connection="Provider=Microsoft.Mashup.OleDb.1;Data Source=$Workbook$;Location=Income;Extended Properties=&quot;&quot;" command="SELECT * FROM [Incom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<sst xmlns="http://schemas.openxmlformats.org/spreadsheetml/2006/main" count="339" uniqueCount="110">
  <si>
    <t>Date</t>
  </si>
  <si>
    <t>Category</t>
  </si>
  <si>
    <t>Start Date</t>
  </si>
  <si>
    <t xml:space="preserve">Financial Goal Tracker </t>
  </si>
  <si>
    <t xml:space="preserve">Investments Tracker </t>
  </si>
  <si>
    <t>Income &amp; Expenses Tracker</t>
  </si>
  <si>
    <t xml:space="preserve">Financial Advice Form </t>
  </si>
  <si>
    <t>Income Amount ($)</t>
  </si>
  <si>
    <t>Income Tracker</t>
  </si>
  <si>
    <t>Expenses Tracker</t>
  </si>
  <si>
    <t>Amount Spent ($)</t>
  </si>
  <si>
    <t xml:space="preserve">Category </t>
  </si>
  <si>
    <t>Source</t>
  </si>
  <si>
    <t>Account Deposited</t>
  </si>
  <si>
    <t>Investment Name</t>
  </si>
  <si>
    <t>Asset Type</t>
  </si>
  <si>
    <t>Purchase Date</t>
  </si>
  <si>
    <t>Number of Units</t>
  </si>
  <si>
    <t>Purchase Price</t>
  </si>
  <si>
    <t>Total Cost</t>
  </si>
  <si>
    <t>Current Market Price</t>
  </si>
  <si>
    <t>Risk Level</t>
  </si>
  <si>
    <t>Investment Account</t>
  </si>
  <si>
    <t>Sector / Industry</t>
  </si>
  <si>
    <t>ROI</t>
  </si>
  <si>
    <t>Goal Name</t>
  </si>
  <si>
    <t>Target Amount</t>
  </si>
  <si>
    <t>Current Amount</t>
  </si>
  <si>
    <t xml:space="preserve">Target Completion Date </t>
  </si>
  <si>
    <t>Progress %</t>
  </si>
  <si>
    <t>Account Used</t>
  </si>
  <si>
    <t>Accounts</t>
  </si>
  <si>
    <t>Account</t>
  </si>
  <si>
    <t>Checking</t>
  </si>
  <si>
    <t>Savings</t>
  </si>
  <si>
    <t>CIBC Credit Card</t>
  </si>
  <si>
    <t xml:space="preserve">Walmart Mastercard </t>
  </si>
  <si>
    <t>Expenses Categories</t>
  </si>
  <si>
    <t>Shopping</t>
  </si>
  <si>
    <t>Groceries</t>
  </si>
  <si>
    <t>Income Category</t>
  </si>
  <si>
    <t>Paycheck</t>
  </si>
  <si>
    <t>Investment</t>
  </si>
  <si>
    <t xml:space="preserve">No Frills </t>
  </si>
  <si>
    <t>School</t>
  </si>
  <si>
    <t>Mom</t>
  </si>
  <si>
    <t>AAPL</t>
  </si>
  <si>
    <t>Stock</t>
  </si>
  <si>
    <t>RESP</t>
  </si>
  <si>
    <t>Tech</t>
  </si>
  <si>
    <t xml:space="preserve">Income  </t>
  </si>
  <si>
    <t xml:space="preserve">Expenses  </t>
  </si>
  <si>
    <t xml:space="preserve">End Date </t>
  </si>
  <si>
    <t>Bonds</t>
  </si>
  <si>
    <t>TFSA</t>
  </si>
  <si>
    <t>Oil</t>
  </si>
  <si>
    <t xml:space="preserve">Combined Accounts  </t>
  </si>
  <si>
    <t>Pivot Tables</t>
  </si>
  <si>
    <t>TSLA</t>
  </si>
  <si>
    <t>Index Fund</t>
  </si>
  <si>
    <t>Mom TD Account</t>
  </si>
  <si>
    <t>Mathnasium</t>
  </si>
  <si>
    <t xml:space="preserve">Financial Filter </t>
  </si>
  <si>
    <t xml:space="preserve">Start Date </t>
  </si>
  <si>
    <t>osap</t>
  </si>
  <si>
    <t xml:space="preserve">Income &amp; Expenses Tracker </t>
  </si>
  <si>
    <t>Investments Tracker</t>
  </si>
  <si>
    <t>Goals</t>
  </si>
  <si>
    <t xml:space="preserve">Financial Advice </t>
  </si>
  <si>
    <t>Dashboard</t>
  </si>
  <si>
    <t>Financial Filter</t>
  </si>
  <si>
    <t>Birthday Party Savings</t>
  </si>
  <si>
    <t>mom</t>
  </si>
  <si>
    <t>Housing Saving</t>
  </si>
  <si>
    <t>Amount ($)</t>
  </si>
  <si>
    <t>GIC</t>
  </si>
  <si>
    <t>RBC GIC</t>
  </si>
  <si>
    <t>What type of advice would you like?</t>
  </si>
  <si>
    <t>CIBC GIC</t>
  </si>
  <si>
    <t>Row Labels</t>
  </si>
  <si>
    <t>Grand Total</t>
  </si>
  <si>
    <t>Sum of Income Amount ($)</t>
  </si>
  <si>
    <t>(All)</t>
  </si>
  <si>
    <t>Sum of Amount Spent ($)</t>
  </si>
  <si>
    <t>Income</t>
  </si>
  <si>
    <t>Expenses</t>
  </si>
  <si>
    <t>Sep</t>
  </si>
  <si>
    <t>Sum of Purchase Price</t>
  </si>
  <si>
    <t>Column Labels</t>
  </si>
  <si>
    <t>Combined Income &amp; Expenses</t>
  </si>
  <si>
    <t>Amount</t>
  </si>
  <si>
    <t>Type</t>
  </si>
  <si>
    <t>Expense</t>
  </si>
  <si>
    <t>Sum of Amount</t>
  </si>
  <si>
    <t>Current Value of Investment</t>
  </si>
  <si>
    <t>DIS</t>
  </si>
  <si>
    <t>Entertainment</t>
  </si>
  <si>
    <t>Sum of ROI</t>
  </si>
  <si>
    <t>Sum of Current Market Price</t>
  </si>
  <si>
    <t>Jan</t>
  </si>
  <si>
    <t>Feb</t>
  </si>
  <si>
    <t>Mar</t>
  </si>
  <si>
    <t>Apr</t>
  </si>
  <si>
    <t>May</t>
  </si>
  <si>
    <t>Nov</t>
  </si>
  <si>
    <t>Oct</t>
  </si>
  <si>
    <t>Sum of Progress %</t>
  </si>
  <si>
    <t xml:space="preserve"> </t>
  </si>
  <si>
    <t>Payment</t>
  </si>
  <si>
    <t>Months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</si>
</sst>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7" formatCode="&quot;$&quot;#,##0.00;\-&quot;$&quot;#,##0.00"/>
    <numFmt numFmtId="44" formatCode="_-&quot;$&quot;* #,##0.00_-;\-&quot;$&quot;* #,##0.00_-;_-&quot;$&quot;* &quot;-&quot;??_-;_-@_-"/>
    <numFmt numFmtId="164" formatCode="_([$$-409]* #,##0.00_);_([$$-409]* \(#,##0.00\);_([$$-409]* &quot;-&quot;??_);_(@_)"/>
  </numFmts>
  <fonts count="20" x14ac:knownFonts="1">
    <font>
      <sz val="11"/>
      <color theme="1"/>
      <name val="Calibri"/>
      <family val="2"/>
      <scheme val="minor"/>
    </font>
    <font>
      <sz val="24"/>
      <color rgb="FFC8E9F9"/>
      <name val="Aharoni"/>
      <charset val="177"/>
    </font>
    <font>
      <b/>
      <sz val="24"/>
      <color rgb="FFC8E9F9"/>
      <name val="Aharoni"/>
      <charset val="177"/>
    </font>
    <font>
      <b/>
      <sz val="18"/>
      <color rgb="FFC8E9F9"/>
      <name val="Calibri"/>
      <family val="2"/>
      <scheme val="minor"/>
    </font>
    <font>
      <b/>
      <sz val="11"/>
      <color theme="0"/>
      <name val="Calibri"/>
      <family val="2"/>
      <scheme val="minor"/>
    </font>
    <font>
      <sz val="12"/>
      <color theme="1"/>
      <name val="Calibri"/>
      <family val="2"/>
      <scheme val="minor"/>
    </font>
    <font>
      <b/>
      <sz val="12"/>
      <color theme="0"/>
      <name val="Calibri"/>
      <family val="2"/>
      <scheme val="minor"/>
    </font>
    <font>
      <sz val="14"/>
      <color theme="1"/>
      <name val="Calibri"/>
      <family val="2"/>
      <scheme val="minor"/>
    </font>
    <font>
      <b/>
      <sz val="14"/>
      <color theme="0"/>
      <name val="Calibri"/>
      <family val="2"/>
      <scheme val="minor"/>
    </font>
    <font>
      <b/>
      <sz val="20"/>
      <color theme="0"/>
      <name val="Calibri"/>
      <family val="2"/>
      <scheme val="minor"/>
    </font>
    <font>
      <u/>
      <sz val="11"/>
      <color theme="10"/>
      <name val="Calibri"/>
      <family val="2"/>
      <scheme val="minor"/>
    </font>
    <font>
      <u/>
      <sz val="14"/>
      <color theme="8" tint="0.79998168889431442"/>
      <name val="Calibri"/>
      <family val="2"/>
      <scheme val="minor"/>
    </font>
    <font>
      <sz val="11"/>
      <color theme="1"/>
      <name val="Calibri"/>
      <family val="2"/>
      <scheme val="minor"/>
    </font>
    <font>
      <sz val="11"/>
      <color theme="0"/>
      <name val="Calibri"/>
      <family val="2"/>
      <scheme val="minor"/>
    </font>
    <font>
      <sz val="16"/>
      <color theme="0"/>
      <name val="Calibri"/>
      <family val="2"/>
      <scheme val="minor"/>
    </font>
    <font>
      <b/>
      <sz val="16"/>
      <color theme="0"/>
      <name val="Calibri"/>
      <family val="2"/>
      <scheme val="minor"/>
    </font>
    <font>
      <sz val="24"/>
      <color rgb="FFC8E9F9"/>
      <name val="Calibri"/>
      <family val="2"/>
      <scheme val="minor"/>
    </font>
    <font>
      <b/>
      <sz val="24"/>
      <color rgb="FFC8E9F9"/>
      <name val="Calibri"/>
      <family val="2"/>
      <scheme val="minor"/>
    </font>
    <font>
      <b/>
      <sz val="36"/>
      <color rgb="FFC8E9F9"/>
      <name val="Calibri"/>
      <family val="2"/>
      <scheme val="minor"/>
    </font>
    <font>
      <b/>
      <sz val="11"/>
      <color theme="1"/>
      <name val="Calibri"/>
      <family val="2"/>
      <scheme val="minor"/>
    </font>
  </fonts>
  <fills count="5">
    <fill>
      <patternFill patternType="none"/>
    </fill>
    <fill>
      <patternFill patternType="gray125"/>
    </fill>
    <fill>
      <patternFill patternType="solid">
        <fgColor rgb="FF003C66"/>
        <bgColor indexed="64"/>
      </patternFill>
    </fill>
    <fill>
      <patternFill patternType="solid">
        <fgColor rgb="FF599AC5"/>
        <bgColor indexed="64"/>
      </patternFill>
    </fill>
    <fill>
      <patternFill patternType="solid">
        <fgColor rgb="FFF2F7FC"/>
        <bgColor indexed="64"/>
      </patternFill>
    </fill>
  </fills>
  <borders count="22">
    <border>
      <left/>
      <right/>
      <top/>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style="thin">
        <color theme="8"/>
      </bottom>
      <diagonal/>
    </border>
    <border>
      <left/>
      <right style="thin">
        <color theme="8"/>
      </right>
      <top/>
      <bottom/>
      <diagonal/>
    </border>
    <border>
      <left style="thin">
        <color theme="8"/>
      </left>
      <right/>
      <top/>
      <bottom/>
      <diagonal/>
    </border>
    <border>
      <left/>
      <right/>
      <top/>
      <bottom style="thin">
        <color theme="8"/>
      </bottom>
      <diagonal/>
    </border>
    <border>
      <left style="thin">
        <color theme="8"/>
      </left>
      <right style="thin">
        <color theme="8"/>
      </right>
      <top style="thin">
        <color theme="8"/>
      </top>
      <bottom/>
      <diagonal/>
    </border>
    <border>
      <left style="thin">
        <color theme="8"/>
      </left>
      <right style="thin">
        <color theme="8"/>
      </right>
      <top style="thin">
        <color theme="8"/>
      </top>
      <bottom style="thin">
        <color theme="8"/>
      </bottom>
      <diagonal/>
    </border>
    <border>
      <left style="thin">
        <color indexed="64"/>
      </left>
      <right style="thin">
        <color indexed="64"/>
      </right>
      <top style="thin">
        <color theme="8" tint="0.79998168889431442"/>
      </top>
      <bottom style="thin">
        <color theme="8" tint="0.79998168889431442"/>
      </bottom>
      <diagonal/>
    </border>
    <border>
      <left style="thin">
        <color indexed="64"/>
      </left>
      <right style="thin">
        <color indexed="64"/>
      </right>
      <top style="thin">
        <color theme="8" tint="0.79998168889431442"/>
      </top>
      <bottom/>
      <diagonal/>
    </border>
    <border>
      <left style="medium">
        <color theme="8" tint="0.79998168889431442"/>
      </left>
      <right style="thin">
        <color indexed="64"/>
      </right>
      <top style="medium">
        <color theme="8" tint="0.79998168889431442"/>
      </top>
      <bottom style="thin">
        <color theme="8" tint="0.79998168889431442"/>
      </bottom>
      <diagonal/>
    </border>
    <border>
      <left style="thin">
        <color indexed="64"/>
      </left>
      <right style="thin">
        <color indexed="64"/>
      </right>
      <top style="medium">
        <color theme="8" tint="0.79998168889431442"/>
      </top>
      <bottom style="thin">
        <color theme="8" tint="0.79998168889431442"/>
      </bottom>
      <diagonal/>
    </border>
    <border>
      <left style="thin">
        <color indexed="64"/>
      </left>
      <right style="medium">
        <color theme="8" tint="0.79998168889431442"/>
      </right>
      <top style="medium">
        <color theme="8" tint="0.79998168889431442"/>
      </top>
      <bottom style="thin">
        <color theme="8" tint="0.79998168889431442"/>
      </bottom>
      <diagonal/>
    </border>
    <border>
      <left style="medium">
        <color theme="8" tint="0.79998168889431442"/>
      </left>
      <right style="thin">
        <color indexed="64"/>
      </right>
      <top style="thin">
        <color theme="8" tint="0.79998168889431442"/>
      </top>
      <bottom style="thin">
        <color theme="8" tint="0.79998168889431442"/>
      </bottom>
      <diagonal/>
    </border>
    <border>
      <left style="thin">
        <color indexed="64"/>
      </left>
      <right style="medium">
        <color theme="8" tint="0.79998168889431442"/>
      </right>
      <top style="thin">
        <color theme="8" tint="0.79998168889431442"/>
      </top>
      <bottom style="thin">
        <color theme="8" tint="0.79998168889431442"/>
      </bottom>
      <diagonal/>
    </border>
    <border>
      <left style="medium">
        <color theme="8" tint="0.79998168889431442"/>
      </left>
      <right style="thin">
        <color indexed="64"/>
      </right>
      <top style="thin">
        <color theme="8" tint="0.79998168889431442"/>
      </top>
      <bottom/>
      <diagonal/>
    </border>
    <border>
      <left style="thin">
        <color indexed="64"/>
      </left>
      <right style="medium">
        <color theme="8" tint="0.79998168889431442"/>
      </right>
      <top style="thin">
        <color theme="8" tint="0.79998168889431442"/>
      </top>
      <bottom/>
      <diagonal/>
    </border>
    <border>
      <left style="medium">
        <color theme="8" tint="0.79998168889431442"/>
      </left>
      <right style="thin">
        <color indexed="64"/>
      </right>
      <top style="thin">
        <color theme="8" tint="0.79998168889431442"/>
      </top>
      <bottom style="medium">
        <color theme="8" tint="0.79998168889431442"/>
      </bottom>
      <diagonal/>
    </border>
    <border>
      <left style="thin">
        <color indexed="64"/>
      </left>
      <right style="thin">
        <color indexed="64"/>
      </right>
      <top style="thin">
        <color theme="8" tint="0.79998168889431442"/>
      </top>
      <bottom style="medium">
        <color theme="8" tint="0.79998168889431442"/>
      </bottom>
      <diagonal/>
    </border>
    <border>
      <left style="thin">
        <color indexed="64"/>
      </left>
      <right style="medium">
        <color theme="8" tint="0.79998168889431442"/>
      </right>
      <top style="thin">
        <color theme="8" tint="0.79998168889431442"/>
      </top>
      <bottom style="medium">
        <color theme="8" tint="0.79998168889431442"/>
      </bottom>
      <diagonal/>
    </border>
  </borders>
  <cellStyleXfs count="4">
    <xf numFmtId="0" fontId="0" fillId="0" borderId="0"/>
    <xf numFmtId="0" fontId="10" fillId="0" borderId="0" applyNumberFormat="0" applyFill="0" applyBorder="0" applyAlignment="0" applyProtection="0"/>
    <xf numFmtId="44" fontId="12" fillId="0" borderId="0" applyFont="0" applyFill="0" applyBorder="0" applyAlignment="0" applyProtection="0"/>
    <xf numFmtId="9" fontId="12" fillId="0" borderId="0" applyFont="0" applyFill="0" applyBorder="0" applyAlignment="0" applyProtection="0"/>
  </cellStyleXfs>
  <cellXfs count="69">
    <xf numFmtId="0" fontId="0" fillId="0" borderId="0" xfId="0"/>
    <xf numFmtId="0" fontId="0" fillId="2" borderId="0" xfId="0" applyFill="1"/>
    <xf numFmtId="0" fontId="0" fillId="3" borderId="0" xfId="0" applyFill="1"/>
    <xf numFmtId="0" fontId="1" fillId="2" borderId="0" xfId="0" applyFont="1" applyFill="1" applyAlignment="1">
      <alignment vertical="center"/>
    </xf>
    <xf numFmtId="0" fontId="1" fillId="0" borderId="0" xfId="0" applyFont="1" applyAlignment="1">
      <alignment vertical="center"/>
    </xf>
    <xf numFmtId="0" fontId="3" fillId="3" borderId="0" xfId="0" applyFont="1" applyFill="1" applyAlignment="1">
      <alignment horizontal="center" vertical="center"/>
    </xf>
    <xf numFmtId="0" fontId="6" fillId="2" borderId="0" xfId="0" applyFont="1" applyFill="1"/>
    <xf numFmtId="0" fontId="2" fillId="2" borderId="0" xfId="0" applyFont="1" applyFill="1" applyAlignment="1">
      <alignment vertical="center"/>
    </xf>
    <xf numFmtId="0" fontId="4" fillId="3" borderId="2" xfId="0" applyFont="1" applyFill="1" applyBorder="1"/>
    <xf numFmtId="0" fontId="4" fillId="3" borderId="3" xfId="0" applyFont="1" applyFill="1" applyBorder="1"/>
    <xf numFmtId="0" fontId="4" fillId="3" borderId="0" xfId="0" applyFont="1" applyFill="1"/>
    <xf numFmtId="0" fontId="4" fillId="3" borderId="5" xfId="0" applyFont="1" applyFill="1" applyBorder="1"/>
    <xf numFmtId="0" fontId="4" fillId="3" borderId="1" xfId="0" applyFont="1" applyFill="1" applyBorder="1"/>
    <xf numFmtId="14" fontId="0" fillId="0" borderId="0" xfId="0" applyNumberFormat="1"/>
    <xf numFmtId="0" fontId="4" fillId="3" borderId="6" xfId="0" applyFont="1" applyFill="1" applyBorder="1"/>
    <xf numFmtId="0" fontId="7" fillId="0" borderId="0" xfId="0" applyFont="1"/>
    <xf numFmtId="0" fontId="8" fillId="3" borderId="0" xfId="0" applyFont="1" applyFill="1"/>
    <xf numFmtId="0" fontId="4" fillId="0" borderId="1" xfId="0" applyFont="1" applyBorder="1"/>
    <xf numFmtId="0" fontId="5" fillId="3" borderId="0" xfId="0" applyFont="1" applyFill="1"/>
    <xf numFmtId="0" fontId="0" fillId="0" borderId="3" xfId="0" applyBorder="1"/>
    <xf numFmtId="0" fontId="0" fillId="0" borderId="8" xfId="0" applyBorder="1"/>
    <xf numFmtId="0" fontId="0" fillId="0" borderId="9" xfId="0" applyBorder="1"/>
    <xf numFmtId="0" fontId="1" fillId="2" borderId="0" xfId="0" applyFont="1" applyFill="1" applyAlignment="1">
      <alignment horizontal="center" vertical="center"/>
    </xf>
    <xf numFmtId="10" fontId="0" fillId="0" borderId="0" xfId="0" applyNumberFormat="1"/>
    <xf numFmtId="9" fontId="0" fillId="0" borderId="0" xfId="3" applyFont="1"/>
    <xf numFmtId="44" fontId="0" fillId="0" borderId="0" xfId="2" applyFont="1"/>
    <xf numFmtId="0" fontId="17" fillId="2" borderId="0" xfId="0" applyFont="1" applyFill="1" applyAlignment="1">
      <alignment vertical="center"/>
    </xf>
    <xf numFmtId="0" fontId="13" fillId="3" borderId="0" xfId="0" applyFont="1" applyFill="1"/>
    <xf numFmtId="0" fontId="15" fillId="3" borderId="0" xfId="0" applyFont="1" applyFill="1" applyAlignment="1">
      <alignment vertical="center"/>
    </xf>
    <xf numFmtId="0" fontId="15" fillId="3" borderId="4" xfId="0" applyFont="1" applyFill="1" applyBorder="1" applyAlignment="1">
      <alignment vertical="center"/>
    </xf>
    <xf numFmtId="0" fontId="15" fillId="3" borderId="7" xfId="0" applyFont="1" applyFill="1" applyBorder="1" applyAlignment="1">
      <alignment vertical="center"/>
    </xf>
    <xf numFmtId="0" fontId="8" fillId="3" borderId="7" xfId="0" applyFont="1" applyFill="1" applyBorder="1"/>
    <xf numFmtId="7" fontId="0" fillId="0" borderId="0" xfId="2" applyNumberFormat="1" applyFont="1"/>
    <xf numFmtId="0" fontId="16" fillId="2" borderId="0" xfId="0" applyFont="1" applyFill="1" applyAlignment="1">
      <alignment vertical="center"/>
    </xf>
    <xf numFmtId="0" fontId="0" fillId="0" borderId="0" xfId="0" pivotButton="1"/>
    <xf numFmtId="0" fontId="0" fillId="0" borderId="0" xfId="0" applyAlignment="1">
      <alignment horizontal="left"/>
    </xf>
    <xf numFmtId="44" fontId="0" fillId="0" borderId="0" xfId="0" applyNumberFormat="1"/>
    <xf numFmtId="0" fontId="0" fillId="0" borderId="0" xfId="0" applyAlignment="1">
      <alignment horizontal="left" indent="1"/>
    </xf>
    <xf numFmtId="0" fontId="6" fillId="3" borderId="6" xfId="0" applyFont="1" applyFill="1" applyBorder="1"/>
    <xf numFmtId="0" fontId="6" fillId="3" borderId="0" xfId="0" applyFont="1" applyFill="1"/>
    <xf numFmtId="9" fontId="0" fillId="0" borderId="0" xfId="0" applyNumberFormat="1"/>
    <xf numFmtId="7" fontId="0" fillId="0" borderId="0" xfId="0" applyNumberFormat="1"/>
    <xf numFmtId="0" fontId="19" fillId="0" borderId="0" xfId="0" applyFont="1"/>
    <xf numFmtId="164" fontId="0" fillId="0" borderId="0" xfId="0" applyNumberFormat="1"/>
    <xf numFmtId="0" fontId="1" fillId="4" borderId="0" xfId="0" applyFont="1" applyFill="1" applyAlignment="1">
      <alignment vertical="center"/>
    </xf>
    <xf numFmtId="0" fontId="0" fillId="4" borderId="0" xfId="0" applyFill="1"/>
    <xf numFmtId="0" fontId="9" fillId="4" borderId="0" xfId="0" applyFont="1" applyFill="1"/>
    <xf numFmtId="0" fontId="11" fillId="2" borderId="19" xfId="1" applyFont="1" applyFill="1" applyBorder="1" applyAlignment="1">
      <alignment horizontal="center" vertical="center"/>
    </xf>
    <xf numFmtId="0" fontId="11" fillId="2" borderId="20" xfId="1" applyFont="1" applyFill="1" applyBorder="1" applyAlignment="1">
      <alignment horizontal="center" vertical="center"/>
    </xf>
    <xf numFmtId="0" fontId="11" fillId="2" borderId="21" xfId="1" applyFont="1" applyFill="1" applyBorder="1" applyAlignment="1">
      <alignment horizontal="center" vertical="center"/>
    </xf>
    <xf numFmtId="0" fontId="18" fillId="2" borderId="0" xfId="0" applyFont="1" applyFill="1" applyAlignment="1">
      <alignment horizontal="center" vertical="center"/>
    </xf>
    <xf numFmtId="0" fontId="11" fillId="2" borderId="12" xfId="1" applyFont="1" applyFill="1" applyBorder="1" applyAlignment="1">
      <alignment horizontal="center" vertical="center"/>
    </xf>
    <xf numFmtId="0" fontId="11" fillId="2" borderId="13" xfId="1" applyFont="1" applyFill="1" applyBorder="1" applyAlignment="1">
      <alignment horizontal="center" vertical="center"/>
    </xf>
    <xf numFmtId="0" fontId="11" fillId="2" borderId="14" xfId="1" applyFont="1" applyFill="1" applyBorder="1" applyAlignment="1">
      <alignment horizontal="center" vertical="center"/>
    </xf>
    <xf numFmtId="0" fontId="11" fillId="2" borderId="15" xfId="1" applyFont="1" applyFill="1" applyBorder="1" applyAlignment="1">
      <alignment horizontal="center" vertical="center"/>
    </xf>
    <xf numFmtId="0" fontId="11" fillId="2" borderId="10" xfId="1" applyFont="1" applyFill="1" applyBorder="1" applyAlignment="1">
      <alignment horizontal="center" vertical="center"/>
    </xf>
    <xf numFmtId="0" fontId="11" fillId="2" borderId="16" xfId="1" applyFont="1" applyFill="1" applyBorder="1" applyAlignment="1">
      <alignment horizontal="center" vertical="center"/>
    </xf>
    <xf numFmtId="0" fontId="11" fillId="2" borderId="17" xfId="1" applyFont="1" applyFill="1" applyBorder="1" applyAlignment="1">
      <alignment horizontal="center" vertical="center"/>
    </xf>
    <xf numFmtId="0" fontId="11" fillId="2" borderId="11" xfId="1" applyFont="1" applyFill="1" applyBorder="1" applyAlignment="1">
      <alignment horizontal="center" vertical="center"/>
    </xf>
    <xf numFmtId="0" fontId="11" fillId="2" borderId="18" xfId="1" applyFont="1" applyFill="1" applyBorder="1" applyAlignment="1">
      <alignment horizontal="center" vertical="center"/>
    </xf>
    <xf numFmtId="0" fontId="15" fillId="3" borderId="0" xfId="0" applyFont="1" applyFill="1" applyAlignment="1">
      <alignment horizontal="center" vertical="center"/>
    </xf>
    <xf numFmtId="0" fontId="17" fillId="2" borderId="0" xfId="0" applyFont="1" applyFill="1" applyAlignment="1">
      <alignment horizontal="center" vertical="center"/>
    </xf>
    <xf numFmtId="0" fontId="15" fillId="3" borderId="7" xfId="0" applyFont="1" applyFill="1" applyBorder="1" applyAlignment="1">
      <alignment horizontal="center" vertical="center"/>
    </xf>
    <xf numFmtId="0" fontId="15" fillId="3" borderId="7" xfId="0" applyFont="1" applyFill="1" applyBorder="1" applyAlignment="1">
      <alignment horizontal="center"/>
    </xf>
    <xf numFmtId="0" fontId="1" fillId="2" borderId="0" xfId="0" applyFont="1" applyFill="1" applyAlignment="1">
      <alignment horizontal="center" vertical="center"/>
    </xf>
    <xf numFmtId="0" fontId="8" fillId="3" borderId="7" xfId="0" applyFont="1" applyFill="1" applyBorder="1" applyAlignment="1">
      <alignment horizontal="center"/>
    </xf>
    <xf numFmtId="0" fontId="16" fillId="2" borderId="0" xfId="0" applyFont="1" applyFill="1" applyAlignment="1">
      <alignment horizontal="center" vertical="center"/>
    </xf>
    <xf numFmtId="0" fontId="8" fillId="3" borderId="0" xfId="0" applyFont="1" applyFill="1" applyAlignment="1">
      <alignment horizontal="center" vertical="center"/>
    </xf>
    <xf numFmtId="0" fontId="14" fillId="3" borderId="0" xfId="0" applyFont="1" applyFill="1" applyAlignment="1">
      <alignment horizontal="center" vertical="center"/>
    </xf>
  </cellXfs>
  <cellStyles count="4">
    <cellStyle name="Currency" xfId="2" builtinId="4"/>
    <cellStyle name="Hyperlink" xfId="1" builtinId="8"/>
    <cellStyle name="Normal" xfId="0" builtinId="0"/>
    <cellStyle name="Percent" xfId="3" builtinId="5"/>
  </cellStyles>
  <dxfs count="23">
    <dxf>
      <numFmt numFmtId="11" formatCode="&quot;$&quot;#,##0.00;\-&quot;$&quot;#,##0.00"/>
    </dxf>
    <dxf>
      <numFmt numFmtId="19" formatCode="yyyy/mm/dd"/>
    </dxf>
    <dxf>
      <font>
        <b val="0"/>
        <i val="0"/>
        <strike val="0"/>
        <condense val="0"/>
        <extend val="0"/>
        <outline val="0"/>
        <shadow val="0"/>
        <u val="none"/>
        <vertAlign val="baseline"/>
        <sz val="11"/>
        <color theme="1"/>
        <name val="Calibri"/>
        <family val="2"/>
        <scheme val="minor"/>
      </font>
    </dxf>
    <dxf>
      <numFmt numFmtId="19" formatCode="yyyy/mm/dd"/>
    </dxf>
    <dxf>
      <numFmt numFmtId="19" formatCode="yyyy/mm/dd"/>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top style="thin">
          <color theme="8"/>
        </top>
      </border>
    </dxf>
    <dxf>
      <font>
        <b/>
        <i val="0"/>
        <strike val="0"/>
        <condense val="0"/>
        <extend val="0"/>
        <outline val="0"/>
        <shadow val="0"/>
        <u val="none"/>
        <vertAlign val="baseline"/>
        <sz val="12"/>
        <color theme="0"/>
        <name val="Calibri"/>
        <family val="2"/>
        <scheme val="minor"/>
      </font>
      <fill>
        <patternFill patternType="solid">
          <fgColor indexed="64"/>
          <bgColor rgb="FF599AC5"/>
        </patternFill>
      </fill>
    </dxf>
    <dxf>
      <numFmt numFmtId="13" formatCode="0%"/>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34" formatCode="_-&quot;$&quot;* #,##0.00_-;\-&quot;$&quot;* #,##0.00_-;_-&quot;$&quot;* &quot;-&quot;??_-;_-@_-"/>
    </dxf>
    <dxf>
      <font>
        <b val="0"/>
        <i val="0"/>
        <strike val="0"/>
        <condense val="0"/>
        <extend val="0"/>
        <outline val="0"/>
        <shadow val="0"/>
        <u val="none"/>
        <vertAlign val="baseline"/>
        <sz val="11"/>
        <color theme="1"/>
        <name val="Calibri"/>
        <family val="2"/>
        <scheme val="minor"/>
      </font>
      <numFmt numFmtId="34" formatCode="_-&quot;$&quot;* #,##0.00_-;\-&quot;$&quot;* #,##0.00_-;_-&quot;$&quot;* &quot;-&quot;??_-;_-@_-"/>
    </dxf>
    <dxf>
      <font>
        <strike val="0"/>
        <outline val="0"/>
        <shadow val="0"/>
        <u val="none"/>
        <vertAlign val="baseline"/>
        <sz val="12"/>
        <color theme="1"/>
        <name val="Calibri"/>
        <family val="2"/>
        <scheme val="minor"/>
      </font>
      <fill>
        <patternFill patternType="solid">
          <fgColor indexed="64"/>
          <bgColor rgb="FF599AC5"/>
        </patternFill>
      </fill>
    </dxf>
    <dxf>
      <numFmt numFmtId="19" formatCode="yyyy/mm/dd"/>
    </dxf>
    <dxf>
      <border outline="0">
        <top style="thin">
          <color theme="8"/>
        </top>
      </border>
    </dxf>
    <dxf>
      <font>
        <b/>
        <i val="0"/>
        <strike val="0"/>
        <condense val="0"/>
        <extend val="0"/>
        <outline val="0"/>
        <shadow val="0"/>
        <u val="none"/>
        <vertAlign val="baseline"/>
        <sz val="11"/>
        <color theme="0"/>
        <name val="Calibri"/>
        <family val="2"/>
        <scheme val="minor"/>
      </font>
      <fill>
        <patternFill patternType="solid">
          <fgColor indexed="64"/>
          <bgColor rgb="FF599AC5"/>
        </patternFill>
      </fill>
    </dxf>
    <dxf>
      <numFmt numFmtId="19" formatCode="yyyy/mm/dd"/>
    </dxf>
    <dxf>
      <border outline="0">
        <top style="thin">
          <color theme="8"/>
        </top>
      </border>
    </dxf>
    <dxf>
      <font>
        <b/>
        <i val="0"/>
        <strike val="0"/>
        <condense val="0"/>
        <extend val="0"/>
        <outline val="0"/>
        <shadow val="0"/>
        <u val="none"/>
        <vertAlign val="baseline"/>
        <sz val="11"/>
        <color theme="0"/>
        <name val="Calibri"/>
        <family val="2"/>
        <scheme val="minor"/>
      </font>
      <fill>
        <patternFill patternType="solid">
          <fgColor indexed="64"/>
          <bgColor rgb="FF599AC5"/>
        </patternFill>
      </fill>
    </dxf>
    <dxf>
      <border outline="0">
        <top style="thin">
          <color theme="8"/>
        </top>
      </border>
    </dxf>
    <dxf>
      <font>
        <b/>
        <i val="0"/>
        <strike val="0"/>
        <condense val="0"/>
        <extend val="0"/>
        <outline val="0"/>
        <shadow val="0"/>
        <u val="none"/>
        <vertAlign val="baseline"/>
        <sz val="14"/>
        <color theme="0"/>
        <name val="Calibri"/>
        <family val="2"/>
        <scheme val="minor"/>
      </font>
      <fill>
        <patternFill patternType="solid">
          <fgColor indexed="64"/>
          <bgColor rgb="FF599AC5"/>
        </patternFill>
      </fill>
    </dxf>
  </dxfs>
  <tableStyles count="0" defaultTableStyle="TableStyleMedium2" defaultPivotStyle="PivotStyleMedium9"/>
  <colors>
    <mruColors>
      <color rgb="FFEAE7FF"/>
      <color rgb="FFE7F4FF"/>
      <color rgb="FF003C66"/>
      <color rgb="FFE0F3FC"/>
      <color rgb="FFC8E9F9"/>
      <color rgb="FF599AC5"/>
      <color rgb="FFF2F7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07/relationships/slicerCache" Target="slicerCaches/slicerCache14.xml"/><Relationship Id="rId39" Type="http://schemas.microsoft.com/office/2017/10/relationships/person" Target="persons/person.xml"/><Relationship Id="rId21" Type="http://schemas.microsoft.com/office/2007/relationships/slicerCache" Target="slicerCaches/slicerCache9.xml"/><Relationship Id="rId34" Type="http://schemas.microsoft.com/office/2017/06/relationships/rdArray" Target="richData/rdarray.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4.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microsoft.com/office/2007/relationships/slicerCache" Target="slicerCaches/slicerCache12.xml"/><Relationship Id="rId32" Type="http://schemas.microsoft.com/office/2017/06/relationships/rdRichValue" Target="richData/rdrichvalue.xml"/><Relationship Id="rId37" Type="http://schemas.microsoft.com/office/2017/06/relationships/rdSupportingPropertyBag" Target="richData/rdsupportingpropertybag.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7/relationships/slicerCache" Target="slicerCaches/slicerCache11.xml"/><Relationship Id="rId28" Type="http://schemas.openxmlformats.org/officeDocument/2006/relationships/connections" Target="connections.xml"/><Relationship Id="rId36" Type="http://schemas.microsoft.com/office/2017/06/relationships/rdSupportingPropertyBagStructure" Target="richData/rdsupportingpropertybagstructure.xml"/><Relationship Id="rId10" Type="http://schemas.openxmlformats.org/officeDocument/2006/relationships/pivotCacheDefinition" Target="pivotCache/pivotCacheDefinition3.xml"/><Relationship Id="rId19" Type="http://schemas.microsoft.com/office/2007/relationships/slicerCache" Target="slicerCaches/slicerCache7.xml"/><Relationship Id="rId31" Type="http://schemas.openxmlformats.org/officeDocument/2006/relationships/sheetMetadata" Target="metadata.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2.xml"/><Relationship Id="rId22" Type="http://schemas.microsoft.com/office/2007/relationships/slicerCache" Target="slicerCaches/slicerCache10.xml"/><Relationship Id="rId27" Type="http://schemas.openxmlformats.org/officeDocument/2006/relationships/theme" Target="theme/theme1.xml"/><Relationship Id="rId30" Type="http://schemas.openxmlformats.org/officeDocument/2006/relationships/sharedStrings" Target="sharedStrings.xml"/><Relationship Id="rId35" Type="http://schemas.microsoft.com/office/2017/06/relationships/richStyles" Target="richData/richStyles.xml"/><Relationship Id="rId43" Type="http://schemas.openxmlformats.org/officeDocument/2006/relationships/customXml" Target="../customXml/item3.xml"/><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microsoft.com/office/2007/relationships/slicerCache" Target="slicerCaches/slicerCache5.xml"/><Relationship Id="rId25" Type="http://schemas.microsoft.com/office/2007/relationships/slicerCache" Target="slicerCaches/slicerCache13.xml"/><Relationship Id="rId33" Type="http://schemas.microsoft.com/office/2017/06/relationships/rdRichValueStructure" Target="richData/rdrichvaluestructure.xml"/><Relationship Id="rId38" Type="http://schemas.microsoft.com/office/2017/06/relationships/rdRichValueTypes" Target="richData/rdRichValueTypes.xml"/><Relationship Id="rId20" Type="http://schemas.microsoft.com/office/2007/relationships/slicerCache" Target="slicerCaches/slicerCache8.xml"/><Relationship Id="rId41"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[Financial_Planner.xlsm]Pivot Tables!PivotTable5</c:name>
    <c:fmtId val="1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ROI per Investment</a:t>
            </a:r>
          </a:p>
        </c:rich>
      </c:tx>
      <c:layout>
        <c:manualLayout>
          <c:xMode val="edge"/>
          <c:yMode val="edge"/>
          <c:x val="0.41683782107785827"/>
          <c:y val="0.1515230312658850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57486428891319"/>
          <c:y val="0.25404121803650676"/>
          <c:w val="0.84630492524906453"/>
          <c:h val="0.60101160748287574"/>
        </c:manualLayout>
      </c:layout>
      <c:barChart>
        <c:barDir val="col"/>
        <c:grouping val="clustered"/>
        <c:varyColors val="0"/>
        <c:ser>
          <c:idx val="0"/>
          <c:order val="0"/>
          <c:tx>
            <c:strRef>
              <c:f>'Pivot Tables'!$O$9</c:f>
              <c:strCache>
                <c:ptCount val="1"/>
                <c:pt idx="0">
                  <c:v>Total</c:v>
                </c:pt>
              </c:strCache>
            </c:strRef>
          </c:tx>
          <c:spPr>
            <a:solidFill>
              <a:schemeClr val="accent1"/>
            </a:solidFill>
            <a:ln>
              <a:noFill/>
            </a:ln>
            <a:effectLst/>
          </c:spPr>
          <c:invertIfNegative val="0"/>
          <c:cat>
            <c:strRef>
              <c:f>'Pivot Tables'!$N$10:$N$15</c:f>
              <c:strCache>
                <c:ptCount val="5"/>
                <c:pt idx="0">
                  <c:v>AAPL</c:v>
                </c:pt>
                <c:pt idx="1">
                  <c:v>CIBC GIC</c:v>
                </c:pt>
                <c:pt idx="2">
                  <c:v>DIS</c:v>
                </c:pt>
                <c:pt idx="3">
                  <c:v>RBC GIC</c:v>
                </c:pt>
                <c:pt idx="4">
                  <c:v>TSLA</c:v>
                </c:pt>
              </c:strCache>
            </c:strRef>
          </c:cat>
          <c:val>
            <c:numRef>
              <c:f>'Pivot Tables'!$O$10:$O$15</c:f>
              <c:numCache>
                <c:formatCode>0%</c:formatCode>
                <c:ptCount val="5"/>
                <c:pt idx="0">
                  <c:v>3.6292</c:v>
                </c:pt>
                <c:pt idx="1">
                  <c:v>-0.93446000000000007</c:v>
                </c:pt>
                <c:pt idx="2">
                  <c:v>-0.42159999999999997</c:v>
                </c:pt>
                <c:pt idx="3">
                  <c:v>-0.66116000000000008</c:v>
                </c:pt>
                <c:pt idx="4">
                  <c:v>3.001555555555556</c:v>
                </c:pt>
              </c:numCache>
            </c:numRef>
          </c:val>
          <c:extLst>
            <c:ext xmlns:c16="http://schemas.microsoft.com/office/drawing/2014/chart" uri="{C3380CC4-5D6E-409C-BE32-E72D297353CC}">
              <c16:uniqueId val="{00000000-3323-415E-8DAC-62E78EC10A55}"/>
            </c:ext>
          </c:extLst>
        </c:ser>
        <c:dLbls>
          <c:showLegendKey val="0"/>
          <c:showVal val="0"/>
          <c:showCatName val="0"/>
          <c:showSerName val="0"/>
          <c:showPercent val="0"/>
          <c:showBubbleSize val="0"/>
        </c:dLbls>
        <c:gapWidth val="219"/>
        <c:overlap val="-27"/>
        <c:axId val="1946927472"/>
        <c:axId val="1946928912"/>
      </c:barChart>
      <c:catAx>
        <c:axId val="19469274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Investment</a:t>
                </a:r>
                <a:r>
                  <a:rPr lang="en-CA" baseline="0"/>
                  <a:t> Name</a:t>
                </a:r>
                <a:endParaRPr lang="en-CA"/>
              </a:p>
            </c:rich>
          </c:tx>
          <c:layout>
            <c:manualLayout>
              <c:xMode val="edge"/>
              <c:yMode val="edge"/>
              <c:x val="0.44434511998346804"/>
              <c:y val="0.8722307874265410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928912"/>
        <c:crosses val="autoZero"/>
        <c:auto val="1"/>
        <c:lblAlgn val="ctr"/>
        <c:lblOffset val="100"/>
        <c:noMultiLvlLbl val="0"/>
      </c:catAx>
      <c:valAx>
        <c:axId val="1946928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ROI</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927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[Financial_Planner.xlsm]Pivot Tables!PivotTable7</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CA" sz="1400" b="0" i="0" u="none" strike="noStrike" kern="1200" spc="0" baseline="0">
                <a:solidFill>
                  <a:sysClr val="windowText" lastClr="000000">
                    <a:lumMod val="65000"/>
                    <a:lumOff val="35000"/>
                  </a:sysClr>
                </a:solidFill>
              </a:rPr>
              <a:t>Purchase versus Market Price ($CAD)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85813279765796"/>
          <c:y val="0.356522493191755"/>
          <c:w val="0.81031145512726588"/>
          <c:h val="0.43272224277668275"/>
        </c:manualLayout>
      </c:layout>
      <c:barChart>
        <c:barDir val="col"/>
        <c:grouping val="clustered"/>
        <c:varyColors val="0"/>
        <c:ser>
          <c:idx val="0"/>
          <c:order val="0"/>
          <c:tx>
            <c:strRef>
              <c:f>'Pivot Tables'!$R$9</c:f>
              <c:strCache>
                <c:ptCount val="1"/>
                <c:pt idx="0">
                  <c:v>Sum of Purchase Price</c:v>
                </c:pt>
              </c:strCache>
            </c:strRef>
          </c:tx>
          <c:spPr>
            <a:solidFill>
              <a:schemeClr val="accent1">
                <a:tint val="77000"/>
              </a:schemeClr>
            </a:solidFill>
            <a:ln>
              <a:noFill/>
            </a:ln>
            <a:effectLst/>
          </c:spPr>
          <c:invertIfNegative val="0"/>
          <c:cat>
            <c:strRef>
              <c:f>'Pivot Tables'!$Q$10:$Q$15</c:f>
              <c:strCache>
                <c:ptCount val="5"/>
                <c:pt idx="0">
                  <c:v>AAPL</c:v>
                </c:pt>
                <c:pt idx="1">
                  <c:v>CIBC GIC</c:v>
                </c:pt>
                <c:pt idx="2">
                  <c:v>DIS</c:v>
                </c:pt>
                <c:pt idx="3">
                  <c:v>RBC GIC</c:v>
                </c:pt>
                <c:pt idx="4">
                  <c:v>TSLA</c:v>
                </c:pt>
              </c:strCache>
            </c:strRef>
          </c:cat>
          <c:val>
            <c:numRef>
              <c:f>'Pivot Tables'!$R$10:$R$15</c:f>
              <c:numCache>
                <c:formatCode>_("$"* #,##0.00_);_("$"* \(#,##0.00\);_("$"* "-"??_);_(@_)</c:formatCode>
                <c:ptCount val="5"/>
                <c:pt idx="0">
                  <c:v>50</c:v>
                </c:pt>
                <c:pt idx="1">
                  <c:v>1000</c:v>
                </c:pt>
                <c:pt idx="2">
                  <c:v>200</c:v>
                </c:pt>
                <c:pt idx="3">
                  <c:v>1000</c:v>
                </c:pt>
                <c:pt idx="4">
                  <c:v>90</c:v>
                </c:pt>
              </c:numCache>
            </c:numRef>
          </c:val>
          <c:extLst>
            <c:ext xmlns:c16="http://schemas.microsoft.com/office/drawing/2014/chart" uri="{C3380CC4-5D6E-409C-BE32-E72D297353CC}">
              <c16:uniqueId val="{00000000-9BFF-4F96-9904-2C2D44BC83D0}"/>
            </c:ext>
          </c:extLst>
        </c:ser>
        <c:ser>
          <c:idx val="1"/>
          <c:order val="1"/>
          <c:tx>
            <c:strRef>
              <c:f>'Pivot Tables'!$S$9</c:f>
              <c:strCache>
                <c:ptCount val="1"/>
                <c:pt idx="0">
                  <c:v>Sum of Current Market Price</c:v>
                </c:pt>
              </c:strCache>
            </c:strRef>
          </c:tx>
          <c:spPr>
            <a:solidFill>
              <a:schemeClr val="accent1">
                <a:shade val="76000"/>
              </a:schemeClr>
            </a:solidFill>
            <a:ln>
              <a:noFill/>
            </a:ln>
            <a:effectLst/>
          </c:spPr>
          <c:invertIfNegative val="0"/>
          <c:cat>
            <c:strRef>
              <c:f>'Pivot Tables'!$Q$10:$Q$15</c:f>
              <c:strCache>
                <c:ptCount val="5"/>
                <c:pt idx="0">
                  <c:v>AAPL</c:v>
                </c:pt>
                <c:pt idx="1">
                  <c:v>CIBC GIC</c:v>
                </c:pt>
                <c:pt idx="2">
                  <c:v>DIS</c:v>
                </c:pt>
                <c:pt idx="3">
                  <c:v>RBC GIC</c:v>
                </c:pt>
                <c:pt idx="4">
                  <c:v>TSLA</c:v>
                </c:pt>
              </c:strCache>
            </c:strRef>
          </c:cat>
          <c:val>
            <c:numRef>
              <c:f>'Pivot Tables'!$S$10:$S$15</c:f>
              <c:numCache>
                <c:formatCode>_([$$-409]* #,##0.00_);_([$$-409]* \(#,##0.00\);_([$$-409]* "-"??_);_(@_)</c:formatCode>
                <c:ptCount val="5"/>
                <c:pt idx="0">
                  <c:v>231.46</c:v>
                </c:pt>
                <c:pt idx="1">
                  <c:v>65.540000000000006</c:v>
                </c:pt>
                <c:pt idx="2">
                  <c:v>115.68</c:v>
                </c:pt>
                <c:pt idx="3">
                  <c:v>338.84</c:v>
                </c:pt>
                <c:pt idx="4">
                  <c:v>360.14</c:v>
                </c:pt>
              </c:numCache>
            </c:numRef>
          </c:val>
          <c:extLst>
            <c:ext xmlns:c16="http://schemas.microsoft.com/office/drawing/2014/chart" uri="{C3380CC4-5D6E-409C-BE32-E72D297353CC}">
              <c16:uniqueId val="{00000001-9BFF-4F96-9904-2C2D44BC83D0}"/>
            </c:ext>
          </c:extLst>
        </c:ser>
        <c:dLbls>
          <c:showLegendKey val="0"/>
          <c:showVal val="0"/>
          <c:showCatName val="0"/>
          <c:showSerName val="0"/>
          <c:showPercent val="0"/>
          <c:showBubbleSize val="0"/>
        </c:dLbls>
        <c:gapWidth val="219"/>
        <c:overlap val="-27"/>
        <c:axId val="1978693184"/>
        <c:axId val="1978694624"/>
      </c:barChart>
      <c:catAx>
        <c:axId val="1978693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Investment</a:t>
                </a:r>
                <a:r>
                  <a:rPr lang="en-CA" baseline="0"/>
                  <a:t> Name</a:t>
                </a:r>
                <a:endParaRPr lang="en-CA"/>
              </a:p>
            </c:rich>
          </c:tx>
          <c:layout>
            <c:manualLayout>
              <c:xMode val="edge"/>
              <c:yMode val="edge"/>
              <c:x val="0.47265483035447914"/>
              <c:y val="0.870232636386723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8694624"/>
        <c:crosses val="autoZero"/>
        <c:auto val="1"/>
        <c:lblAlgn val="ctr"/>
        <c:lblOffset val="100"/>
        <c:noMultiLvlLbl val="0"/>
      </c:catAx>
      <c:valAx>
        <c:axId val="1978694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Price ($CAD)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8693184"/>
        <c:crosses val="autoZero"/>
        <c:crossBetween val="between"/>
      </c:valAx>
      <c:spPr>
        <a:noFill/>
        <a:ln>
          <a:noFill/>
        </a:ln>
        <a:effectLst/>
      </c:spPr>
    </c:plotArea>
    <c:legend>
      <c:legendPos val="t"/>
      <c:layout>
        <c:manualLayout>
          <c:xMode val="edge"/>
          <c:yMode val="edge"/>
          <c:x val="0.11370603506465173"/>
          <c:y val="0.19697618915539505"/>
          <c:w val="0.75525655050605933"/>
          <c:h val="0.127154934678467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[Financial_Planner.xlsm]Pivot Tables!PivotTable8</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Goal</a:t>
            </a:r>
            <a:r>
              <a:rPr lang="en-CA" baseline="0"/>
              <a:t> Progress</a:t>
            </a:r>
            <a:endParaRPr lang="en-CA"/>
          </a:p>
        </c:rich>
      </c:tx>
      <c:layout>
        <c:manualLayout>
          <c:xMode val="edge"/>
          <c:yMode val="edge"/>
          <c:x val="0.3892082239720035"/>
          <c:y val="9.15718868474773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122703412073491E-2"/>
          <c:y val="0.21235892388451444"/>
          <c:w val="0.87232174103237092"/>
          <c:h val="0.58866980169145522"/>
        </c:manualLayout>
      </c:layout>
      <c:barChart>
        <c:barDir val="col"/>
        <c:grouping val="clustered"/>
        <c:varyColors val="0"/>
        <c:ser>
          <c:idx val="0"/>
          <c:order val="0"/>
          <c:tx>
            <c:strRef>
              <c:f>'Pivot Tables'!$V$4</c:f>
              <c:strCache>
                <c:ptCount val="1"/>
                <c:pt idx="0">
                  <c:v>Total</c:v>
                </c:pt>
              </c:strCache>
            </c:strRef>
          </c:tx>
          <c:spPr>
            <a:solidFill>
              <a:schemeClr val="accent1"/>
            </a:solidFill>
            <a:ln>
              <a:noFill/>
            </a:ln>
            <a:effectLst/>
          </c:spPr>
          <c:invertIfNegative val="0"/>
          <c:cat>
            <c:strRef>
              <c:f>'Pivot Tables'!$U$5:$U$8</c:f>
              <c:strCache>
                <c:ptCount val="3"/>
                <c:pt idx="0">
                  <c:v>Birthday Party Savings</c:v>
                </c:pt>
                <c:pt idx="1">
                  <c:v>Housing Saving</c:v>
                </c:pt>
                <c:pt idx="2">
                  <c:v>osap</c:v>
                </c:pt>
              </c:strCache>
            </c:strRef>
          </c:cat>
          <c:val>
            <c:numRef>
              <c:f>'Pivot Tables'!$V$5:$V$8</c:f>
              <c:numCache>
                <c:formatCode>0%</c:formatCode>
                <c:ptCount val="3"/>
                <c:pt idx="0">
                  <c:v>3.3300000000000003E-2</c:v>
                </c:pt>
                <c:pt idx="1">
                  <c:v>0</c:v>
                </c:pt>
                <c:pt idx="2">
                  <c:v>4.7777777777777775E-3</c:v>
                </c:pt>
              </c:numCache>
            </c:numRef>
          </c:val>
          <c:extLst>
            <c:ext xmlns:c16="http://schemas.microsoft.com/office/drawing/2014/chart" uri="{C3380CC4-5D6E-409C-BE32-E72D297353CC}">
              <c16:uniqueId val="{00000000-5D82-415D-965B-8058EB540BF3}"/>
            </c:ext>
          </c:extLst>
        </c:ser>
        <c:dLbls>
          <c:showLegendKey val="0"/>
          <c:showVal val="0"/>
          <c:showCatName val="0"/>
          <c:showSerName val="0"/>
          <c:showPercent val="0"/>
          <c:showBubbleSize val="0"/>
        </c:dLbls>
        <c:gapWidth val="219"/>
        <c:overlap val="-27"/>
        <c:axId val="1940291296"/>
        <c:axId val="1940292736"/>
      </c:barChart>
      <c:catAx>
        <c:axId val="194029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292736"/>
        <c:crosses val="autoZero"/>
        <c:auto val="1"/>
        <c:lblAlgn val="ctr"/>
        <c:lblOffset val="100"/>
        <c:noMultiLvlLbl val="0"/>
      </c:catAx>
      <c:valAx>
        <c:axId val="194029273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291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[Financial_Planner.xlsm]Pivot Tables!PivotTable3</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Net Amount</a:t>
            </a:r>
            <a:r>
              <a:rPr lang="en-CA" baseline="0"/>
              <a:t> per Account ($CAD)</a:t>
            </a:r>
            <a:endParaRPr lang="en-CA"/>
          </a:p>
        </c:rich>
      </c:tx>
      <c:layout>
        <c:manualLayout>
          <c:xMode val="edge"/>
          <c:yMode val="edge"/>
          <c:x val="0.31230993662487139"/>
          <c:y val="6.374330530353435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hade val="58000"/>
              </a:schemeClr>
            </a:solidFill>
            <a:ln w="9525">
              <a:solidFill>
                <a:schemeClr val="accent1">
                  <a:shade val="58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tint val="86000"/>
              </a:schemeClr>
            </a:solidFill>
            <a:ln w="9525">
              <a:solidFill>
                <a:schemeClr val="accent1">
                  <a:tint val="8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tint val="58000"/>
              </a:schemeClr>
            </a:solidFill>
            <a:ln w="9525">
              <a:solidFill>
                <a:schemeClr val="accent1">
                  <a:tint val="58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1">
                <a:shade val="86000"/>
              </a:schemeClr>
            </a:solidFill>
            <a:ln w="9525">
              <a:solidFill>
                <a:schemeClr val="accent1">
                  <a:shade val="8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29492378861728"/>
          <c:y val="0.29092576493235139"/>
          <c:w val="0.85804777318897196"/>
          <c:h val="0.48386903592818314"/>
        </c:manualLayout>
      </c:layout>
      <c:lineChart>
        <c:grouping val="standard"/>
        <c:varyColors val="0"/>
        <c:ser>
          <c:idx val="0"/>
          <c:order val="0"/>
          <c:tx>
            <c:strRef>
              <c:f>'Pivot Tables'!$F$21:$F$22</c:f>
              <c:strCache>
                <c:ptCount val="1"/>
                <c:pt idx="0">
                  <c:v>Checking</c:v>
                </c:pt>
              </c:strCache>
            </c:strRef>
          </c:tx>
          <c:spPr>
            <a:ln w="28575" cap="rnd">
              <a:solidFill>
                <a:schemeClr val="accent1">
                  <a:shade val="58000"/>
                </a:schemeClr>
              </a:solidFill>
              <a:round/>
            </a:ln>
            <a:effectLst/>
          </c:spPr>
          <c:marker>
            <c:symbol val="circle"/>
            <c:size val="5"/>
            <c:spPr>
              <a:solidFill>
                <a:schemeClr val="accent1">
                  <a:shade val="58000"/>
                </a:schemeClr>
              </a:solidFill>
              <a:ln w="9525">
                <a:solidFill>
                  <a:schemeClr val="accent1">
                    <a:shade val="58000"/>
                  </a:schemeClr>
                </a:solidFill>
              </a:ln>
              <a:effectLst/>
            </c:spPr>
          </c:marker>
          <c:cat>
            <c:multiLvlStrRef>
              <c:f>'Pivot Tables'!$E$23:$E$31</c:f>
              <c:multiLvlStrCache>
                <c:ptCount val="7"/>
                <c:lvl>
                  <c:pt idx="0">
                    <c:v>Jan</c:v>
                  </c:pt>
                  <c:pt idx="1">
                    <c:v>Feb</c:v>
                  </c:pt>
                  <c:pt idx="2">
                    <c:v>Mar</c:v>
                  </c:pt>
                  <c:pt idx="3">
                    <c:v>Apr</c:v>
                  </c:pt>
                  <c:pt idx="4">
                    <c:v>May</c:v>
                  </c:pt>
                  <c:pt idx="5">
                    <c:v>Sep</c:v>
                  </c:pt>
                  <c:pt idx="6">
                    <c:v>Nov</c:v>
                  </c:pt>
                </c:lvl>
                <c:lvl>
                  <c:pt idx="0">
                    <c:v>Income</c:v>
                  </c:pt>
                </c:lvl>
              </c:multiLvlStrCache>
            </c:multiLvlStrRef>
          </c:cat>
          <c:val>
            <c:numRef>
              <c:f>'Pivot Tables'!$F$23:$F$31</c:f>
              <c:numCache>
                <c:formatCode>"$"#,##0.00_);\("$"#,##0.00\)</c:formatCode>
                <c:ptCount val="7"/>
                <c:pt idx="0">
                  <c:v>900</c:v>
                </c:pt>
                <c:pt idx="1">
                  <c:v>70</c:v>
                </c:pt>
                <c:pt idx="2">
                  <c:v>500</c:v>
                </c:pt>
                <c:pt idx="3">
                  <c:v>800</c:v>
                </c:pt>
                <c:pt idx="4">
                  <c:v>180</c:v>
                </c:pt>
              </c:numCache>
            </c:numRef>
          </c:val>
          <c:smooth val="0"/>
          <c:extLst>
            <c:ext xmlns:c16="http://schemas.microsoft.com/office/drawing/2014/chart" uri="{C3380CC4-5D6E-409C-BE32-E72D297353CC}">
              <c16:uniqueId val="{00000000-4FCB-4D4C-8F7E-3E89614A6EA0}"/>
            </c:ext>
          </c:extLst>
        </c:ser>
        <c:ser>
          <c:idx val="1"/>
          <c:order val="1"/>
          <c:tx>
            <c:strRef>
              <c:f>'Pivot Tables'!$G$21:$G$22</c:f>
              <c:strCache>
                <c:ptCount val="1"/>
                <c:pt idx="0">
                  <c:v>CIBC Credit Card</c:v>
                </c:pt>
              </c:strCache>
            </c:strRef>
          </c:tx>
          <c:spPr>
            <a:ln w="28575" cap="rnd">
              <a:solidFill>
                <a:schemeClr val="accent1">
                  <a:shade val="86000"/>
                </a:schemeClr>
              </a:solidFill>
              <a:round/>
            </a:ln>
            <a:effectLst/>
          </c:spPr>
          <c:marker>
            <c:symbol val="circle"/>
            <c:size val="5"/>
            <c:spPr>
              <a:solidFill>
                <a:schemeClr val="accent1">
                  <a:shade val="86000"/>
                </a:schemeClr>
              </a:solidFill>
              <a:ln w="9525">
                <a:solidFill>
                  <a:schemeClr val="accent1">
                    <a:shade val="86000"/>
                  </a:schemeClr>
                </a:solidFill>
              </a:ln>
              <a:effectLst/>
            </c:spPr>
          </c:marker>
          <c:cat>
            <c:multiLvlStrRef>
              <c:f>'Pivot Tables'!$E$23:$E$31</c:f>
              <c:multiLvlStrCache>
                <c:ptCount val="7"/>
                <c:lvl>
                  <c:pt idx="0">
                    <c:v>Jan</c:v>
                  </c:pt>
                  <c:pt idx="1">
                    <c:v>Feb</c:v>
                  </c:pt>
                  <c:pt idx="2">
                    <c:v>Mar</c:v>
                  </c:pt>
                  <c:pt idx="3">
                    <c:v>Apr</c:v>
                  </c:pt>
                  <c:pt idx="4">
                    <c:v>May</c:v>
                  </c:pt>
                  <c:pt idx="5">
                    <c:v>Sep</c:v>
                  </c:pt>
                  <c:pt idx="6">
                    <c:v>Nov</c:v>
                  </c:pt>
                </c:lvl>
                <c:lvl>
                  <c:pt idx="0">
                    <c:v>Income</c:v>
                  </c:pt>
                </c:lvl>
              </c:multiLvlStrCache>
            </c:multiLvlStrRef>
          </c:cat>
          <c:val>
            <c:numRef>
              <c:f>'Pivot Tables'!$G$23:$G$31</c:f>
              <c:numCache>
                <c:formatCode>"$"#,##0.00_);\("$"#,##0.00\)</c:formatCode>
                <c:ptCount val="7"/>
                <c:pt idx="6">
                  <c:v>300</c:v>
                </c:pt>
              </c:numCache>
            </c:numRef>
          </c:val>
          <c:smooth val="0"/>
          <c:extLst>
            <c:ext xmlns:c16="http://schemas.microsoft.com/office/drawing/2014/chart" uri="{C3380CC4-5D6E-409C-BE32-E72D297353CC}">
              <c16:uniqueId val="{00000001-4FCB-4D4C-8F7E-3E89614A6EA0}"/>
            </c:ext>
          </c:extLst>
        </c:ser>
        <c:ser>
          <c:idx val="2"/>
          <c:order val="2"/>
          <c:tx>
            <c:strRef>
              <c:f>'Pivot Tables'!$H$21:$H$22</c:f>
              <c:strCache>
                <c:ptCount val="1"/>
                <c:pt idx="0">
                  <c:v>Savings</c:v>
                </c:pt>
              </c:strCache>
            </c:strRef>
          </c:tx>
          <c:spPr>
            <a:ln w="28575" cap="rnd">
              <a:solidFill>
                <a:schemeClr val="accent1">
                  <a:tint val="86000"/>
                </a:schemeClr>
              </a:solidFill>
              <a:round/>
            </a:ln>
            <a:effectLst/>
          </c:spPr>
          <c:marker>
            <c:symbol val="circle"/>
            <c:size val="5"/>
            <c:spPr>
              <a:solidFill>
                <a:schemeClr val="accent1">
                  <a:tint val="86000"/>
                </a:schemeClr>
              </a:solidFill>
              <a:ln w="9525">
                <a:solidFill>
                  <a:schemeClr val="accent1">
                    <a:tint val="86000"/>
                  </a:schemeClr>
                </a:solidFill>
              </a:ln>
              <a:effectLst/>
            </c:spPr>
          </c:marker>
          <c:cat>
            <c:multiLvlStrRef>
              <c:f>'Pivot Tables'!$E$23:$E$31</c:f>
              <c:multiLvlStrCache>
                <c:ptCount val="7"/>
                <c:lvl>
                  <c:pt idx="0">
                    <c:v>Jan</c:v>
                  </c:pt>
                  <c:pt idx="1">
                    <c:v>Feb</c:v>
                  </c:pt>
                  <c:pt idx="2">
                    <c:v>Mar</c:v>
                  </c:pt>
                  <c:pt idx="3">
                    <c:v>Apr</c:v>
                  </c:pt>
                  <c:pt idx="4">
                    <c:v>May</c:v>
                  </c:pt>
                  <c:pt idx="5">
                    <c:v>Sep</c:v>
                  </c:pt>
                  <c:pt idx="6">
                    <c:v>Nov</c:v>
                  </c:pt>
                </c:lvl>
                <c:lvl>
                  <c:pt idx="0">
                    <c:v>Income</c:v>
                  </c:pt>
                </c:lvl>
              </c:multiLvlStrCache>
            </c:multiLvlStrRef>
          </c:cat>
          <c:val>
            <c:numRef>
              <c:f>'Pivot Tables'!$H$23:$H$31</c:f>
              <c:numCache>
                <c:formatCode>"$"#,##0.00_);\("$"#,##0.00\)</c:formatCode>
                <c:ptCount val="7"/>
                <c:pt idx="0">
                  <c:v>123</c:v>
                </c:pt>
                <c:pt idx="6">
                  <c:v>180</c:v>
                </c:pt>
              </c:numCache>
            </c:numRef>
          </c:val>
          <c:smooth val="0"/>
          <c:extLst>
            <c:ext xmlns:c16="http://schemas.microsoft.com/office/drawing/2014/chart" uri="{C3380CC4-5D6E-409C-BE32-E72D297353CC}">
              <c16:uniqueId val="{00000002-4FCB-4D4C-8F7E-3E89614A6EA0}"/>
            </c:ext>
          </c:extLst>
        </c:ser>
        <c:ser>
          <c:idx val="3"/>
          <c:order val="3"/>
          <c:tx>
            <c:strRef>
              <c:f>'Pivot Tables'!$I$21:$I$22</c:f>
              <c:strCache>
                <c:ptCount val="1"/>
                <c:pt idx="0">
                  <c:v>Walmart Mastercard </c:v>
                </c:pt>
              </c:strCache>
            </c:strRef>
          </c:tx>
          <c:spPr>
            <a:ln w="28575" cap="rnd">
              <a:solidFill>
                <a:schemeClr val="accent1">
                  <a:tint val="58000"/>
                </a:schemeClr>
              </a:solidFill>
              <a:round/>
            </a:ln>
            <a:effectLst/>
          </c:spPr>
          <c:marker>
            <c:symbol val="circle"/>
            <c:size val="5"/>
            <c:spPr>
              <a:solidFill>
                <a:schemeClr val="accent1">
                  <a:tint val="58000"/>
                </a:schemeClr>
              </a:solidFill>
              <a:ln w="9525">
                <a:solidFill>
                  <a:schemeClr val="accent1">
                    <a:tint val="58000"/>
                  </a:schemeClr>
                </a:solidFill>
              </a:ln>
              <a:effectLst/>
            </c:spPr>
          </c:marker>
          <c:cat>
            <c:multiLvlStrRef>
              <c:f>'Pivot Tables'!$E$23:$E$31</c:f>
              <c:multiLvlStrCache>
                <c:ptCount val="7"/>
                <c:lvl>
                  <c:pt idx="0">
                    <c:v>Jan</c:v>
                  </c:pt>
                  <c:pt idx="1">
                    <c:v>Feb</c:v>
                  </c:pt>
                  <c:pt idx="2">
                    <c:v>Mar</c:v>
                  </c:pt>
                  <c:pt idx="3">
                    <c:v>Apr</c:v>
                  </c:pt>
                  <c:pt idx="4">
                    <c:v>May</c:v>
                  </c:pt>
                  <c:pt idx="5">
                    <c:v>Sep</c:v>
                  </c:pt>
                  <c:pt idx="6">
                    <c:v>Nov</c:v>
                  </c:pt>
                </c:lvl>
                <c:lvl>
                  <c:pt idx="0">
                    <c:v>Income</c:v>
                  </c:pt>
                </c:lvl>
              </c:multiLvlStrCache>
            </c:multiLvlStrRef>
          </c:cat>
          <c:val>
            <c:numRef>
              <c:f>'Pivot Tables'!$I$23:$I$31</c:f>
              <c:numCache>
                <c:formatCode>"$"#,##0.00_);\("$"#,##0.00\)</c:formatCode>
                <c:ptCount val="7"/>
                <c:pt idx="5">
                  <c:v>10</c:v>
                </c:pt>
              </c:numCache>
            </c:numRef>
          </c:val>
          <c:smooth val="0"/>
          <c:extLst>
            <c:ext xmlns:c16="http://schemas.microsoft.com/office/drawing/2014/chart" uri="{C3380CC4-5D6E-409C-BE32-E72D297353CC}">
              <c16:uniqueId val="{00000003-4FCB-4D4C-8F7E-3E89614A6EA0}"/>
            </c:ext>
          </c:extLst>
        </c:ser>
        <c:dLbls>
          <c:showLegendKey val="0"/>
          <c:showVal val="0"/>
          <c:showCatName val="0"/>
          <c:showSerName val="0"/>
          <c:showPercent val="0"/>
          <c:showBubbleSize val="0"/>
        </c:dLbls>
        <c:marker val="1"/>
        <c:smooth val="0"/>
        <c:axId val="982502368"/>
        <c:axId val="982500448"/>
      </c:lineChart>
      <c:catAx>
        <c:axId val="9825023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layout>
            <c:manualLayout>
              <c:xMode val="edge"/>
              <c:yMode val="edge"/>
              <c:x val="0.49973335317681783"/>
              <c:y val="0.8937009332608607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500448"/>
        <c:crosses val="autoZero"/>
        <c:auto val="1"/>
        <c:lblAlgn val="ctr"/>
        <c:lblOffset val="100"/>
        <c:noMultiLvlLbl val="0"/>
      </c:catAx>
      <c:valAx>
        <c:axId val="982500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Amount</a:t>
                </a:r>
                <a:r>
                  <a:rPr lang="en-CA" baseline="0"/>
                  <a:t> ($CAD)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502368"/>
        <c:crosses val="autoZero"/>
        <c:crossBetween val="between"/>
      </c:valAx>
      <c:spPr>
        <a:noFill/>
        <a:ln>
          <a:noFill/>
        </a:ln>
        <a:effectLst/>
      </c:spPr>
    </c:plotArea>
    <c:legend>
      <c:legendPos val="t"/>
      <c:layout>
        <c:manualLayout>
          <c:xMode val="edge"/>
          <c:yMode val="edge"/>
          <c:x val="0.14841438156540288"/>
          <c:y val="0.10592833039738569"/>
          <c:w val="0.73182619802718185"/>
          <c:h val="0.110126992612162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[Financial_Planner.xlsm]Pivot Tables!PivotTable6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Expenses ($CAD)</a:t>
            </a:r>
          </a:p>
        </c:rich>
      </c:tx>
      <c:layout>
        <c:manualLayout>
          <c:xMode val="edge"/>
          <c:yMode val="edge"/>
          <c:x val="0.34568291141255963"/>
          <c:y val="0.1312559393312547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48165753727623"/>
          <c:y val="0.26504061808796847"/>
          <c:w val="0.83504826573571167"/>
          <c:h val="0.55408194720811121"/>
        </c:manualLayout>
      </c:layout>
      <c:barChart>
        <c:barDir val="col"/>
        <c:grouping val="clustered"/>
        <c:varyColors val="0"/>
        <c:ser>
          <c:idx val="0"/>
          <c:order val="0"/>
          <c:tx>
            <c:strRef>
              <c:f>'Pivot Tables'!$P$22</c:f>
              <c:strCache>
                <c:ptCount val="1"/>
                <c:pt idx="0">
                  <c:v>Total</c:v>
                </c:pt>
              </c:strCache>
            </c:strRef>
          </c:tx>
          <c:spPr>
            <a:solidFill>
              <a:schemeClr val="accent1"/>
            </a:solidFill>
            <a:ln>
              <a:noFill/>
            </a:ln>
            <a:effectLst/>
          </c:spPr>
          <c:invertIfNegative val="0"/>
          <c:cat>
            <c:strRef>
              <c:f>'Pivot Tables'!$O$23:$O$26</c:f>
              <c:strCache>
                <c:ptCount val="3"/>
                <c:pt idx="0">
                  <c:v>Sep</c:v>
                </c:pt>
                <c:pt idx="1">
                  <c:v>Oct</c:v>
                </c:pt>
                <c:pt idx="2">
                  <c:v>Nov</c:v>
                </c:pt>
              </c:strCache>
            </c:strRef>
          </c:cat>
          <c:val>
            <c:numRef>
              <c:f>'Pivot Tables'!$P$23:$P$26</c:f>
              <c:numCache>
                <c:formatCode>_("$"* #,##0.00_);_("$"* \(#,##0.00\);_("$"* "-"??_);_(@_)</c:formatCode>
                <c:ptCount val="3"/>
                <c:pt idx="0">
                  <c:v>230</c:v>
                </c:pt>
                <c:pt idx="1">
                  <c:v>464</c:v>
                </c:pt>
                <c:pt idx="2">
                  <c:v>80</c:v>
                </c:pt>
              </c:numCache>
            </c:numRef>
          </c:val>
          <c:extLst>
            <c:ext xmlns:c16="http://schemas.microsoft.com/office/drawing/2014/chart" uri="{C3380CC4-5D6E-409C-BE32-E72D297353CC}">
              <c16:uniqueId val="{00000000-D32E-487A-BB09-86F9AC292844}"/>
            </c:ext>
          </c:extLst>
        </c:ser>
        <c:dLbls>
          <c:showLegendKey val="0"/>
          <c:showVal val="0"/>
          <c:showCatName val="0"/>
          <c:showSerName val="0"/>
          <c:showPercent val="0"/>
          <c:showBubbleSize val="0"/>
        </c:dLbls>
        <c:gapWidth val="219"/>
        <c:overlap val="-27"/>
        <c:axId val="981197408"/>
        <c:axId val="981199328"/>
      </c:barChart>
      <c:catAx>
        <c:axId val="98119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199328"/>
        <c:crosses val="autoZero"/>
        <c:auto val="1"/>
        <c:lblAlgn val="ctr"/>
        <c:lblOffset val="100"/>
        <c:noMultiLvlLbl val="0"/>
      </c:catAx>
      <c:valAx>
        <c:axId val="98119932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197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[Financial_Planner.xlsm]Pivot Tables!PivotTable2</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Distribution of Income ($CAD)</a:t>
            </a:r>
          </a:p>
        </c:rich>
      </c:tx>
      <c:layout>
        <c:manualLayout>
          <c:xMode val="edge"/>
          <c:yMode val="edge"/>
          <c:x val="0.30593071875022193"/>
          <c:y val="0.1385969974137277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72236709060083"/>
          <c:y val="0.23487193434047152"/>
          <c:w val="0.85948260017499678"/>
          <c:h val="0.61760565406015111"/>
        </c:manualLayout>
      </c:layout>
      <c:barChart>
        <c:barDir val="col"/>
        <c:grouping val="clustered"/>
        <c:varyColors val="0"/>
        <c:ser>
          <c:idx val="0"/>
          <c:order val="0"/>
          <c:tx>
            <c:strRef>
              <c:f>'Pivot Tables'!$E$7</c:f>
              <c:strCache>
                <c:ptCount val="1"/>
                <c:pt idx="0">
                  <c:v>Total</c:v>
                </c:pt>
              </c:strCache>
            </c:strRef>
          </c:tx>
          <c:spPr>
            <a:solidFill>
              <a:schemeClr val="accent1"/>
            </a:solidFill>
            <a:ln>
              <a:noFill/>
            </a:ln>
            <a:effectLst/>
          </c:spPr>
          <c:invertIfNegative val="0"/>
          <c:cat>
            <c:strRef>
              <c:f>'Pivot Tables'!$D$8:$D$12</c:f>
              <c:strCache>
                <c:ptCount val="4"/>
                <c:pt idx="0">
                  <c:v>Checking</c:v>
                </c:pt>
                <c:pt idx="1">
                  <c:v>Savings</c:v>
                </c:pt>
                <c:pt idx="2">
                  <c:v>Walmart Mastercard </c:v>
                </c:pt>
                <c:pt idx="3">
                  <c:v>CIBC Credit Card</c:v>
                </c:pt>
              </c:strCache>
            </c:strRef>
          </c:cat>
          <c:val>
            <c:numRef>
              <c:f>'Pivot Tables'!$E$8:$E$12</c:f>
              <c:numCache>
                <c:formatCode>_("$"* #,##0.00_);_("$"* \(#,##0.00\);_("$"* "-"??_);_(@_)</c:formatCode>
                <c:ptCount val="4"/>
                <c:pt idx="0">
                  <c:v>2450</c:v>
                </c:pt>
                <c:pt idx="1">
                  <c:v>303</c:v>
                </c:pt>
                <c:pt idx="2">
                  <c:v>10</c:v>
                </c:pt>
                <c:pt idx="3">
                  <c:v>300</c:v>
                </c:pt>
              </c:numCache>
            </c:numRef>
          </c:val>
          <c:extLst>
            <c:ext xmlns:c16="http://schemas.microsoft.com/office/drawing/2014/chart" uri="{C3380CC4-5D6E-409C-BE32-E72D297353CC}">
              <c16:uniqueId val="{00000000-0054-4B38-A78F-52A57097C632}"/>
            </c:ext>
          </c:extLst>
        </c:ser>
        <c:dLbls>
          <c:showLegendKey val="0"/>
          <c:showVal val="0"/>
          <c:showCatName val="0"/>
          <c:showSerName val="0"/>
          <c:showPercent val="0"/>
          <c:showBubbleSize val="0"/>
        </c:dLbls>
        <c:gapWidth val="219"/>
        <c:overlap val="-27"/>
        <c:axId val="130386912"/>
        <c:axId val="130387872"/>
      </c:barChart>
      <c:catAx>
        <c:axId val="130386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87872"/>
        <c:crosses val="autoZero"/>
        <c:auto val="1"/>
        <c:lblAlgn val="ctr"/>
        <c:lblOffset val="100"/>
        <c:noMultiLvlLbl val="0"/>
      </c:catAx>
      <c:valAx>
        <c:axId val="13038787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86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[Financial_Planner.xlsm]Pivot Tables!PivotTable1</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a:t>
            </a:r>
            <a:r>
              <a:rPr lang="en-US" baseline="0"/>
              <a:t> of Income ($CAD)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tint val="50000"/>
            </a:schemeClr>
          </a:solidFill>
          <a:ln w="19050">
            <a:solidFill>
              <a:schemeClr val="lt1"/>
            </a:solidFill>
          </a:ln>
          <a:effectLst/>
        </c:spPr>
      </c:pivotFmt>
      <c:pivotFmt>
        <c:idx val="10"/>
        <c:spPr>
          <a:solidFill>
            <a:schemeClr val="accent1">
              <a:tint val="70000"/>
            </a:schemeClr>
          </a:solidFill>
          <a:ln w="19050">
            <a:solidFill>
              <a:schemeClr val="lt1"/>
            </a:solidFill>
          </a:ln>
          <a:effectLst/>
        </c:spPr>
      </c:pivotFmt>
      <c:pivotFmt>
        <c:idx val="11"/>
        <c:spPr>
          <a:solidFill>
            <a:schemeClr val="accent1">
              <a:tint val="90000"/>
            </a:schemeClr>
          </a:solidFill>
          <a:ln w="19050">
            <a:solidFill>
              <a:schemeClr val="lt1"/>
            </a:solidFill>
          </a:ln>
          <a:effectLst/>
        </c:spPr>
      </c:pivotFmt>
      <c:pivotFmt>
        <c:idx val="12"/>
        <c:spPr>
          <a:solidFill>
            <a:schemeClr val="accent1">
              <a:shade val="90000"/>
            </a:schemeClr>
          </a:solidFill>
          <a:ln w="19050">
            <a:solidFill>
              <a:schemeClr val="lt1"/>
            </a:solidFill>
          </a:ln>
          <a:effectLst/>
        </c:spPr>
      </c:pivotFmt>
      <c:pivotFmt>
        <c:idx val="13"/>
        <c:spPr>
          <a:solidFill>
            <a:schemeClr val="accent1">
              <a:shade val="70000"/>
            </a:schemeClr>
          </a:solidFill>
          <a:ln w="19050">
            <a:solidFill>
              <a:schemeClr val="lt1"/>
            </a:solidFill>
          </a:ln>
          <a:effectLst/>
        </c:spPr>
      </c:pivotFmt>
      <c:pivotFmt>
        <c:idx val="14"/>
        <c:spPr>
          <a:solidFill>
            <a:schemeClr val="accent1">
              <a:shade val="50000"/>
            </a:schemeClr>
          </a:solidFill>
          <a:ln w="19050">
            <a:solidFill>
              <a:schemeClr val="lt1"/>
            </a:solidFill>
          </a:ln>
          <a:effectLst/>
        </c:spPr>
      </c:pivotFmt>
    </c:pivotFmts>
    <c:plotArea>
      <c:layout/>
      <c:pieChart>
        <c:varyColors val="1"/>
        <c:ser>
          <c:idx val="0"/>
          <c:order val="0"/>
          <c:tx>
            <c:strRef>
              <c:f>'Pivot Tables'!$B$7</c:f>
              <c:strCache>
                <c:ptCount val="1"/>
                <c:pt idx="0">
                  <c:v>Total</c:v>
                </c:pt>
              </c:strCache>
            </c:strRef>
          </c:tx>
          <c:dPt>
            <c:idx val="0"/>
            <c:bubble3D val="0"/>
            <c:spPr>
              <a:solidFill>
                <a:schemeClr val="accent1">
                  <a:tint val="50000"/>
                </a:schemeClr>
              </a:solidFill>
              <a:ln w="19050">
                <a:solidFill>
                  <a:schemeClr val="lt1"/>
                </a:solidFill>
              </a:ln>
              <a:effectLst/>
            </c:spPr>
            <c:extLst>
              <c:ext xmlns:c16="http://schemas.microsoft.com/office/drawing/2014/chart" uri="{C3380CC4-5D6E-409C-BE32-E72D297353CC}">
                <c16:uniqueId val="{00000001-7B5E-45FE-9C25-0B61E943737D}"/>
              </c:ext>
            </c:extLst>
          </c:dPt>
          <c:dPt>
            <c:idx val="1"/>
            <c:bubble3D val="0"/>
            <c:spPr>
              <a:solidFill>
                <a:schemeClr val="accent1">
                  <a:tint val="70000"/>
                </a:schemeClr>
              </a:solidFill>
              <a:ln w="19050">
                <a:solidFill>
                  <a:schemeClr val="lt1"/>
                </a:solidFill>
              </a:ln>
              <a:effectLst/>
            </c:spPr>
            <c:extLst>
              <c:ext xmlns:c16="http://schemas.microsoft.com/office/drawing/2014/chart" uri="{C3380CC4-5D6E-409C-BE32-E72D297353CC}">
                <c16:uniqueId val="{00000003-7B5E-45FE-9C25-0B61E943737D}"/>
              </c:ext>
            </c:extLst>
          </c:dPt>
          <c:dPt>
            <c:idx val="2"/>
            <c:bubble3D val="0"/>
            <c:spPr>
              <a:solidFill>
                <a:schemeClr val="accent1">
                  <a:tint val="90000"/>
                </a:schemeClr>
              </a:solidFill>
              <a:ln w="19050">
                <a:solidFill>
                  <a:schemeClr val="lt1"/>
                </a:solidFill>
              </a:ln>
              <a:effectLst/>
            </c:spPr>
            <c:extLst>
              <c:ext xmlns:c16="http://schemas.microsoft.com/office/drawing/2014/chart" uri="{C3380CC4-5D6E-409C-BE32-E72D297353CC}">
                <c16:uniqueId val="{00000005-7B5E-45FE-9C25-0B61E943737D}"/>
              </c:ext>
            </c:extLst>
          </c:dPt>
          <c:dPt>
            <c:idx val="3"/>
            <c:bubble3D val="0"/>
            <c:spPr>
              <a:solidFill>
                <a:schemeClr val="accent1">
                  <a:shade val="90000"/>
                </a:schemeClr>
              </a:solidFill>
              <a:ln w="19050">
                <a:solidFill>
                  <a:schemeClr val="lt1"/>
                </a:solidFill>
              </a:ln>
              <a:effectLst/>
            </c:spPr>
            <c:extLst>
              <c:ext xmlns:c16="http://schemas.microsoft.com/office/drawing/2014/chart" uri="{C3380CC4-5D6E-409C-BE32-E72D297353CC}">
                <c16:uniqueId val="{00000007-7B5E-45FE-9C25-0B61E943737D}"/>
              </c:ext>
            </c:extLst>
          </c:dPt>
          <c:dPt>
            <c:idx val="4"/>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009-7B5E-45FE-9C25-0B61E943737D}"/>
              </c:ext>
            </c:extLst>
          </c:dPt>
          <c:dPt>
            <c:idx val="5"/>
            <c:bubble3D val="0"/>
            <c:spPr>
              <a:solidFill>
                <a:schemeClr val="accent1">
                  <a:shade val="50000"/>
                </a:schemeClr>
              </a:solidFill>
              <a:ln w="19050">
                <a:solidFill>
                  <a:schemeClr val="lt1"/>
                </a:solidFill>
              </a:ln>
              <a:effectLst/>
            </c:spPr>
            <c:extLst>
              <c:ext xmlns:c16="http://schemas.microsoft.com/office/drawing/2014/chart" uri="{C3380CC4-5D6E-409C-BE32-E72D297353CC}">
                <c16:uniqueId val="{0000000B-7B5E-45FE-9C25-0B61E943737D}"/>
              </c:ext>
            </c:extLst>
          </c:dPt>
          <c:cat>
            <c:strRef>
              <c:f>'Pivot Tables'!$A$8:$A$14</c:f>
              <c:strCache>
                <c:ptCount val="6"/>
                <c:pt idx="0">
                  <c:v>AAPL</c:v>
                </c:pt>
                <c:pt idx="1">
                  <c:v>Mathnasium</c:v>
                </c:pt>
                <c:pt idx="2">
                  <c:v>Mom</c:v>
                </c:pt>
                <c:pt idx="3">
                  <c:v>No Frills </c:v>
                </c:pt>
                <c:pt idx="4">
                  <c:v>TSLA</c:v>
                </c:pt>
                <c:pt idx="5">
                  <c:v>Checking</c:v>
                </c:pt>
              </c:strCache>
            </c:strRef>
          </c:cat>
          <c:val>
            <c:numRef>
              <c:f>'Pivot Tables'!$B$8:$B$14</c:f>
              <c:numCache>
                <c:formatCode>_("$"* #,##0.00_);_("$"* \(#,##0.00\);_("$"* "-"??_);_(@_)</c:formatCode>
                <c:ptCount val="6"/>
                <c:pt idx="0">
                  <c:v>250</c:v>
                </c:pt>
                <c:pt idx="1">
                  <c:v>1200</c:v>
                </c:pt>
                <c:pt idx="2">
                  <c:v>303</c:v>
                </c:pt>
                <c:pt idx="3">
                  <c:v>610</c:v>
                </c:pt>
                <c:pt idx="4">
                  <c:v>400</c:v>
                </c:pt>
                <c:pt idx="5">
                  <c:v>300</c:v>
                </c:pt>
              </c:numCache>
            </c:numRef>
          </c:val>
          <c:extLst>
            <c:ext xmlns:c16="http://schemas.microsoft.com/office/drawing/2014/chart" uri="{C3380CC4-5D6E-409C-BE32-E72D297353CC}">
              <c16:uniqueId val="{0000000C-7B5E-45FE-9C25-0B61E943737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28</xdr:col>
      <xdr:colOff>485544</xdr:colOff>
      <xdr:row>4</xdr:row>
      <xdr:rowOff>149240</xdr:rowOff>
    </xdr:from>
    <xdr:to>
      <xdr:col>33</xdr:col>
      <xdr:colOff>506245</xdr:colOff>
      <xdr:row>6</xdr:row>
      <xdr:rowOff>191894</xdr:rowOff>
    </xdr:to>
    <xdr:sp macro="[0]!DisplayGoals" textlink="">
      <xdr:nvSpPr>
        <xdr:cNvPr id="2" name="Rectangle 1">
          <a:extLst>
            <a:ext uri="{FF2B5EF4-FFF2-40B4-BE49-F238E27FC236}">
              <a16:creationId xmlns:a16="http://schemas.microsoft.com/office/drawing/2014/main" id="{746C2DC3-7CE0-445C-BA12-7193E5009FBD}"/>
            </a:ext>
          </a:extLst>
        </xdr:cNvPr>
        <xdr:cNvSpPr/>
      </xdr:nvSpPr>
      <xdr:spPr>
        <a:xfrm>
          <a:off x="17198173" y="1878723"/>
          <a:ext cx="3060139" cy="778969"/>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baseline="0">
              <a:ln w="0"/>
              <a:solidFill>
                <a:schemeClr val="bg1"/>
              </a:solidFill>
              <a:effectLst>
                <a:innerShdw blurRad="63500" dist="50800" dir="13500000">
                  <a:srgbClr val="000000">
                    <a:alpha val="50000"/>
                  </a:srgbClr>
                </a:innerShdw>
              </a:effectLst>
            </a:rPr>
            <a:t>Show Goals</a:t>
          </a:r>
          <a:endParaRPr lang="en-CA" sz="1600" b="1" kern="1200" cap="none" spc="50">
            <a:ln w="0"/>
            <a:solidFill>
              <a:schemeClr val="bg1"/>
            </a:solidFill>
            <a:effectLst>
              <a:innerShdw blurRad="63500" dist="50800" dir="13500000">
                <a:srgbClr val="000000">
                  <a:alpha val="50000"/>
                </a:srgbClr>
              </a:innerShdw>
            </a:effectLst>
          </a:endParaRPr>
        </a:p>
      </xdr:txBody>
    </xdr:sp>
    <xdr:clientData/>
  </xdr:twoCellAnchor>
  <xdr:twoCellAnchor>
    <xdr:from>
      <xdr:col>7</xdr:col>
      <xdr:colOff>391407</xdr:colOff>
      <xdr:row>2</xdr:row>
      <xdr:rowOff>289734</xdr:rowOff>
    </xdr:from>
    <xdr:to>
      <xdr:col>24</xdr:col>
      <xdr:colOff>428337</xdr:colOff>
      <xdr:row>3</xdr:row>
      <xdr:rowOff>161636</xdr:rowOff>
    </xdr:to>
    <xdr:sp macro="" textlink="">
      <xdr:nvSpPr>
        <xdr:cNvPr id="12" name="Rectangle 11">
          <a:extLst>
            <a:ext uri="{FF2B5EF4-FFF2-40B4-BE49-F238E27FC236}">
              <a16:creationId xmlns:a16="http://schemas.microsoft.com/office/drawing/2014/main" id="{FAD7190C-F07A-4C9B-9069-FDACD5729AAA}"/>
            </a:ext>
          </a:extLst>
        </xdr:cNvPr>
        <xdr:cNvSpPr/>
      </xdr:nvSpPr>
      <xdr:spPr>
        <a:xfrm>
          <a:off x="4341107" y="1178734"/>
          <a:ext cx="10400130" cy="341802"/>
        </a:xfrm>
        <a:prstGeom prst="rect">
          <a:avLst/>
        </a:prstGeom>
        <a:solidFill>
          <a:srgbClr val="E0F3FC"/>
        </a:solidFill>
        <a:ln w="34925">
          <a:solidFill>
            <a:srgbClr val="003C66"/>
          </a:solidFill>
        </a:ln>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0" kern="1200" cap="none" spc="0" baseline="0">
              <a:ln w="0"/>
              <a:solidFill>
                <a:srgbClr val="003C66"/>
              </a:solidFill>
              <a:effectLst>
                <a:outerShdw blurRad="38100" dist="25400" dir="5400000" algn="ctr" rotWithShape="0">
                  <a:srgbClr val="6E747A">
                    <a:alpha val="43000"/>
                  </a:srgbClr>
                </a:outerShdw>
              </a:effectLst>
            </a:rPr>
            <a:t>Investments Summary</a:t>
          </a:r>
          <a:endParaRPr lang="en-CA" sz="1600" b="0" kern="1200" cap="none" spc="0">
            <a:ln w="0"/>
            <a:solidFill>
              <a:srgbClr val="003C66"/>
            </a:solidFill>
            <a:effectLst>
              <a:outerShdw blurRad="38100" dist="25400" dir="5400000" algn="ctr" rotWithShape="0">
                <a:srgbClr val="6E747A">
                  <a:alpha val="43000"/>
                </a:srgbClr>
              </a:outerShdw>
            </a:effectLst>
          </a:endParaRPr>
        </a:p>
      </xdr:txBody>
    </xdr:sp>
    <xdr:clientData/>
  </xdr:twoCellAnchor>
  <xdr:twoCellAnchor>
    <xdr:from>
      <xdr:col>7</xdr:col>
      <xdr:colOff>38679</xdr:colOff>
      <xdr:row>18</xdr:row>
      <xdr:rowOff>136289</xdr:rowOff>
    </xdr:from>
    <xdr:to>
      <xdr:col>16</xdr:col>
      <xdr:colOff>355600</xdr:colOff>
      <xdr:row>35</xdr:row>
      <xdr:rowOff>3783</xdr:rowOff>
    </xdr:to>
    <xdr:graphicFrame macro="">
      <xdr:nvGraphicFramePr>
        <xdr:cNvPr id="19" name="Chart 18">
          <a:extLst>
            <a:ext uri="{FF2B5EF4-FFF2-40B4-BE49-F238E27FC236}">
              <a16:creationId xmlns:a16="http://schemas.microsoft.com/office/drawing/2014/main" id="{10FAB430-F2AC-4CA4-9DA1-AB22669CE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450950</xdr:colOff>
      <xdr:row>19</xdr:row>
      <xdr:rowOff>31179</xdr:rowOff>
    </xdr:from>
    <xdr:to>
      <xdr:col>19</xdr:col>
      <xdr:colOff>160920</xdr:colOff>
      <xdr:row>34</xdr:row>
      <xdr:rowOff>146538</xdr:rowOff>
    </xdr:to>
    <mc:AlternateContent xmlns:mc="http://schemas.openxmlformats.org/markup-compatibility/2006" xmlns:a14="http://schemas.microsoft.com/office/drawing/2010/main">
      <mc:Choice Requires="a14">
        <xdr:graphicFrame macro="">
          <xdr:nvGraphicFramePr>
            <xdr:cNvPr id="20" name="Asset Type 1">
              <a:extLst>
                <a:ext uri="{FF2B5EF4-FFF2-40B4-BE49-F238E27FC236}">
                  <a16:creationId xmlns:a16="http://schemas.microsoft.com/office/drawing/2014/main" id="{98B64E1A-7419-47CF-AC4A-A2A29F337554}"/>
                </a:ext>
              </a:extLst>
            </xdr:cNvPr>
            <xdr:cNvGraphicFramePr/>
          </xdr:nvGraphicFramePr>
          <xdr:xfrm>
            <a:off x="0" y="0"/>
            <a:ext cx="0" cy="0"/>
          </xdr:xfrm>
          <a:graphic>
            <a:graphicData uri="http://schemas.microsoft.com/office/drawing/2010/slicer">
              <sle:slicer xmlns:sle="http://schemas.microsoft.com/office/drawing/2010/slicer" name="Asset Type 1"/>
            </a:graphicData>
          </a:graphic>
        </xdr:graphicFrame>
      </mc:Choice>
      <mc:Fallback xmlns="">
        <xdr:sp macro="" textlink="">
          <xdr:nvSpPr>
            <xdr:cNvPr id="0" name=""/>
            <xdr:cNvSpPr>
              <a:spLocks noTextEdit="1"/>
            </xdr:cNvSpPr>
          </xdr:nvSpPr>
          <xdr:spPr>
            <a:xfrm>
              <a:off x="9975950" y="4984179"/>
              <a:ext cx="1556355" cy="275305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254919</xdr:colOff>
      <xdr:row>19</xdr:row>
      <xdr:rowOff>25565</xdr:rowOff>
    </xdr:from>
    <xdr:to>
      <xdr:col>22</xdr:col>
      <xdr:colOff>125393</xdr:colOff>
      <xdr:row>34</xdr:row>
      <xdr:rowOff>146537</xdr:rowOff>
    </xdr:to>
    <mc:AlternateContent xmlns:mc="http://schemas.openxmlformats.org/markup-compatibility/2006" xmlns:a14="http://schemas.microsoft.com/office/drawing/2010/main">
      <mc:Choice Requires="a14">
        <xdr:graphicFrame macro="">
          <xdr:nvGraphicFramePr>
            <xdr:cNvPr id="21" name="Sector / Industry 1">
              <a:extLst>
                <a:ext uri="{FF2B5EF4-FFF2-40B4-BE49-F238E27FC236}">
                  <a16:creationId xmlns:a16="http://schemas.microsoft.com/office/drawing/2014/main" id="{8AB3CE18-9DBD-4DF1-BCF4-C5626C46316A}"/>
                </a:ext>
              </a:extLst>
            </xdr:cNvPr>
            <xdr:cNvGraphicFramePr/>
          </xdr:nvGraphicFramePr>
          <xdr:xfrm>
            <a:off x="0" y="0"/>
            <a:ext cx="0" cy="0"/>
          </xdr:xfrm>
          <a:graphic>
            <a:graphicData uri="http://schemas.microsoft.com/office/drawing/2010/slicer">
              <sle:slicer xmlns:sle="http://schemas.microsoft.com/office/drawing/2010/slicer" name="Sector / Industry 1"/>
            </a:graphicData>
          </a:graphic>
        </xdr:graphicFrame>
      </mc:Choice>
      <mc:Fallback xmlns="">
        <xdr:sp macro="" textlink="">
          <xdr:nvSpPr>
            <xdr:cNvPr id="0" name=""/>
            <xdr:cNvSpPr>
              <a:spLocks noTextEdit="1"/>
            </xdr:cNvSpPr>
          </xdr:nvSpPr>
          <xdr:spPr>
            <a:xfrm>
              <a:off x="11626304" y="4978565"/>
              <a:ext cx="1716858" cy="275866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206410</xdr:colOff>
      <xdr:row>19</xdr:row>
      <xdr:rowOff>34270</xdr:rowOff>
    </xdr:from>
    <xdr:to>
      <xdr:col>25</xdr:col>
      <xdr:colOff>144683</xdr:colOff>
      <xdr:row>34</xdr:row>
      <xdr:rowOff>136769</xdr:rowOff>
    </xdr:to>
    <mc:AlternateContent xmlns:mc="http://schemas.openxmlformats.org/markup-compatibility/2006" xmlns:a14="http://schemas.microsoft.com/office/drawing/2010/main">
      <mc:Choice Requires="a14">
        <xdr:graphicFrame macro="">
          <xdr:nvGraphicFramePr>
            <xdr:cNvPr id="22" name="Risk Level 1">
              <a:extLst>
                <a:ext uri="{FF2B5EF4-FFF2-40B4-BE49-F238E27FC236}">
                  <a16:creationId xmlns:a16="http://schemas.microsoft.com/office/drawing/2014/main" id="{BEBF493F-C7EB-4750-9151-C250CF00069C}"/>
                </a:ext>
              </a:extLst>
            </xdr:cNvPr>
            <xdr:cNvGraphicFramePr/>
          </xdr:nvGraphicFramePr>
          <xdr:xfrm>
            <a:off x="0" y="0"/>
            <a:ext cx="0" cy="0"/>
          </xdr:xfrm>
          <a:graphic>
            <a:graphicData uri="http://schemas.microsoft.com/office/drawing/2010/slicer">
              <sle:slicer xmlns:sle="http://schemas.microsoft.com/office/drawing/2010/slicer" name="Risk Level 1"/>
            </a:graphicData>
          </a:graphic>
        </xdr:graphicFrame>
      </mc:Choice>
      <mc:Fallback xmlns="">
        <xdr:sp macro="" textlink="">
          <xdr:nvSpPr>
            <xdr:cNvPr id="0" name=""/>
            <xdr:cNvSpPr>
              <a:spLocks noTextEdit="1"/>
            </xdr:cNvSpPr>
          </xdr:nvSpPr>
          <xdr:spPr>
            <a:xfrm>
              <a:off x="13424179" y="4987270"/>
              <a:ext cx="1784658" cy="274019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375339</xdr:colOff>
      <xdr:row>3</xdr:row>
      <xdr:rowOff>341063</xdr:rowOff>
    </xdr:from>
    <xdr:to>
      <xdr:col>21</xdr:col>
      <xdr:colOff>573416</xdr:colOff>
      <xdr:row>18</xdr:row>
      <xdr:rowOff>0</xdr:rowOff>
    </xdr:to>
    <mc:AlternateContent xmlns:mc="http://schemas.openxmlformats.org/markup-compatibility/2006" xmlns:a14="http://schemas.microsoft.com/office/drawing/2010/main">
      <mc:Choice Requires="a14">
        <xdr:graphicFrame macro="">
          <xdr:nvGraphicFramePr>
            <xdr:cNvPr id="23" name="Risk Level 2">
              <a:extLst>
                <a:ext uri="{FF2B5EF4-FFF2-40B4-BE49-F238E27FC236}">
                  <a16:creationId xmlns:a16="http://schemas.microsoft.com/office/drawing/2014/main" id="{16AFB3C8-2009-496F-89DA-397CE664FBAD}"/>
                </a:ext>
              </a:extLst>
            </xdr:cNvPr>
            <xdr:cNvGraphicFramePr/>
          </xdr:nvGraphicFramePr>
          <xdr:xfrm>
            <a:off x="0" y="0"/>
            <a:ext cx="0" cy="0"/>
          </xdr:xfrm>
          <a:graphic>
            <a:graphicData uri="http://schemas.microsoft.com/office/drawing/2010/slicer">
              <sle:slicer xmlns:sle="http://schemas.microsoft.com/office/drawing/2010/slicer" name="Risk Level 2"/>
            </a:graphicData>
          </a:graphic>
        </xdr:graphicFrame>
      </mc:Choice>
      <mc:Fallback xmlns="">
        <xdr:sp macro="" textlink="">
          <xdr:nvSpPr>
            <xdr:cNvPr id="0" name=""/>
            <xdr:cNvSpPr>
              <a:spLocks noTextEdit="1"/>
            </xdr:cNvSpPr>
          </xdr:nvSpPr>
          <xdr:spPr>
            <a:xfrm>
              <a:off x="11746724" y="1703871"/>
              <a:ext cx="1429000" cy="307328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20697</xdr:colOff>
      <xdr:row>3</xdr:row>
      <xdr:rowOff>320454</xdr:rowOff>
    </xdr:from>
    <xdr:to>
      <xdr:col>24</xdr:col>
      <xdr:colOff>449531</xdr:colOff>
      <xdr:row>18</xdr:row>
      <xdr:rowOff>0</xdr:rowOff>
    </xdr:to>
    <mc:AlternateContent xmlns:mc="http://schemas.openxmlformats.org/markup-compatibility/2006" xmlns:a14="http://schemas.microsoft.com/office/drawing/2010/main">
      <mc:Choice Requires="a14">
        <xdr:graphicFrame macro="">
          <xdr:nvGraphicFramePr>
            <xdr:cNvPr id="24" name="Sector / Industry 2">
              <a:extLst>
                <a:ext uri="{FF2B5EF4-FFF2-40B4-BE49-F238E27FC236}">
                  <a16:creationId xmlns:a16="http://schemas.microsoft.com/office/drawing/2014/main" id="{13E63CEF-8613-442F-B619-D03F9E28E8DA}"/>
                </a:ext>
              </a:extLst>
            </xdr:cNvPr>
            <xdr:cNvGraphicFramePr/>
          </xdr:nvGraphicFramePr>
          <xdr:xfrm>
            <a:off x="0" y="0"/>
            <a:ext cx="0" cy="0"/>
          </xdr:xfrm>
          <a:graphic>
            <a:graphicData uri="http://schemas.microsoft.com/office/drawing/2010/slicer">
              <sle:slicer xmlns:sle="http://schemas.microsoft.com/office/drawing/2010/slicer" name="Sector / Industry 2"/>
            </a:graphicData>
          </a:graphic>
        </xdr:graphicFrame>
      </mc:Choice>
      <mc:Fallback xmlns="">
        <xdr:sp macro="" textlink="">
          <xdr:nvSpPr>
            <xdr:cNvPr id="0" name=""/>
            <xdr:cNvSpPr>
              <a:spLocks noTextEdit="1"/>
            </xdr:cNvSpPr>
          </xdr:nvSpPr>
          <xdr:spPr>
            <a:xfrm>
              <a:off x="13238466" y="1683262"/>
              <a:ext cx="1659757" cy="30938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504618</xdr:colOff>
      <xdr:row>3</xdr:row>
      <xdr:rowOff>354901</xdr:rowOff>
    </xdr:from>
    <xdr:to>
      <xdr:col>19</xdr:col>
      <xdr:colOff>294737</xdr:colOff>
      <xdr:row>18</xdr:row>
      <xdr:rowOff>2763</xdr:rowOff>
    </xdr:to>
    <mc:AlternateContent xmlns:mc="http://schemas.openxmlformats.org/markup-compatibility/2006" xmlns:a14="http://schemas.microsoft.com/office/drawing/2010/main">
      <mc:Choice Requires="a14">
        <xdr:graphicFrame macro="">
          <xdr:nvGraphicFramePr>
            <xdr:cNvPr id="25" name="Asset Type">
              <a:extLst>
                <a:ext uri="{FF2B5EF4-FFF2-40B4-BE49-F238E27FC236}">
                  <a16:creationId xmlns:a16="http://schemas.microsoft.com/office/drawing/2014/main" id="{3C76E1DE-F23D-47CE-A33A-D892F5929A38}"/>
                </a:ext>
              </a:extLst>
            </xdr:cNvPr>
            <xdr:cNvGraphicFramePr/>
          </xdr:nvGraphicFramePr>
          <xdr:xfrm>
            <a:off x="0" y="0"/>
            <a:ext cx="0" cy="0"/>
          </xdr:xfrm>
          <a:graphic>
            <a:graphicData uri="http://schemas.microsoft.com/office/drawing/2010/slicer">
              <sle:slicer xmlns:sle="http://schemas.microsoft.com/office/drawing/2010/slicer" name="Asset Type"/>
            </a:graphicData>
          </a:graphic>
        </xdr:graphicFrame>
      </mc:Choice>
      <mc:Fallback xmlns="">
        <xdr:sp macro="" textlink="">
          <xdr:nvSpPr>
            <xdr:cNvPr id="0" name=""/>
            <xdr:cNvSpPr>
              <a:spLocks noTextEdit="1"/>
            </xdr:cNvSpPr>
          </xdr:nvSpPr>
          <xdr:spPr>
            <a:xfrm>
              <a:off x="10029618" y="1717709"/>
              <a:ext cx="1636504" cy="306220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42834</xdr:colOff>
      <xdr:row>3</xdr:row>
      <xdr:rowOff>296653</xdr:rowOff>
    </xdr:from>
    <xdr:to>
      <xdr:col>16</xdr:col>
      <xdr:colOff>445324</xdr:colOff>
      <xdr:row>18</xdr:row>
      <xdr:rowOff>900</xdr:rowOff>
    </xdr:to>
    <xdr:graphicFrame macro="">
      <xdr:nvGraphicFramePr>
        <xdr:cNvPr id="26" name="Chart 25">
          <a:extLst>
            <a:ext uri="{FF2B5EF4-FFF2-40B4-BE49-F238E27FC236}">
              <a16:creationId xmlns:a16="http://schemas.microsoft.com/office/drawing/2014/main" id="{2ECBC2E3-C602-415C-BBE3-31A05BD7A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413071</xdr:colOff>
      <xdr:row>2</xdr:row>
      <xdr:rowOff>131075</xdr:rowOff>
    </xdr:from>
    <xdr:to>
      <xdr:col>26</xdr:col>
      <xdr:colOff>118533</xdr:colOff>
      <xdr:row>36</xdr:row>
      <xdr:rowOff>63500</xdr:rowOff>
    </xdr:to>
    <xdr:sp macro="" textlink="">
      <xdr:nvSpPr>
        <xdr:cNvPr id="27" name="Rectangle 26">
          <a:extLst>
            <a:ext uri="{FF2B5EF4-FFF2-40B4-BE49-F238E27FC236}">
              <a16:creationId xmlns:a16="http://schemas.microsoft.com/office/drawing/2014/main" id="{49E8A8CA-C322-431B-89A3-9FB365AD4B95}"/>
            </a:ext>
          </a:extLst>
        </xdr:cNvPr>
        <xdr:cNvSpPr/>
      </xdr:nvSpPr>
      <xdr:spPr>
        <a:xfrm>
          <a:off x="3765871" y="1011608"/>
          <a:ext cx="11897462" cy="7298425"/>
        </a:xfrm>
        <a:prstGeom prst="rect">
          <a:avLst/>
        </a:prstGeom>
        <a:noFill/>
        <a:ln w="34925">
          <a:solidFill>
            <a:schemeClr val="accent1"/>
          </a:solidFill>
        </a:ln>
        <a:effectLst>
          <a:glow rad="228600">
            <a:schemeClr val="accent3">
              <a:satMod val="175000"/>
              <a:alpha val="40000"/>
            </a:schemeClr>
          </a:glo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en-CA" sz="1600" b="0" kern="1200" cap="none" spc="0">
            <a:ln w="0"/>
            <a:solidFill>
              <a:srgbClr val="003C66"/>
            </a:solidFill>
            <a:effectLst>
              <a:outerShdw blurRad="38100" dist="25400" dir="5400000" algn="ctr" rotWithShape="0">
                <a:srgbClr val="6E747A">
                  <a:alpha val="43000"/>
                </a:srgbClr>
              </a:outerShdw>
            </a:effectLst>
          </a:endParaRPr>
        </a:p>
      </xdr:txBody>
    </xdr:sp>
    <xdr:clientData/>
  </xdr:twoCellAnchor>
  <xdr:oneCellAnchor>
    <xdr:from>
      <xdr:col>16</xdr:col>
      <xdr:colOff>11205</xdr:colOff>
      <xdr:row>4</xdr:row>
      <xdr:rowOff>179294</xdr:rowOff>
    </xdr:from>
    <xdr:ext cx="184731" cy="264560"/>
    <xdr:sp macro="" textlink="">
      <xdr:nvSpPr>
        <xdr:cNvPr id="28" name="TextBox 27">
          <a:extLst>
            <a:ext uri="{FF2B5EF4-FFF2-40B4-BE49-F238E27FC236}">
              <a16:creationId xmlns:a16="http://schemas.microsoft.com/office/drawing/2014/main" id="{26B868BD-B1A7-3E88-F902-3CB60E24136F}"/>
            </a:ext>
          </a:extLst>
        </xdr:cNvPr>
        <xdr:cNvSpPr txBox="1"/>
      </xdr:nvSpPr>
      <xdr:spPr>
        <a:xfrm>
          <a:off x="9390529" y="1905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CA" sz="1100" kern="1200"/>
        </a:p>
      </xdr:txBody>
    </xdr:sp>
    <xdr:clientData/>
  </xdr:oneCellAnchor>
  <xdr:twoCellAnchor>
    <xdr:from>
      <xdr:col>26</xdr:col>
      <xdr:colOff>428090</xdr:colOff>
      <xdr:row>2</xdr:row>
      <xdr:rowOff>149218</xdr:rowOff>
    </xdr:from>
    <xdr:to>
      <xdr:col>35</xdr:col>
      <xdr:colOff>541867</xdr:colOff>
      <xdr:row>36</xdr:row>
      <xdr:rowOff>51371</xdr:rowOff>
    </xdr:to>
    <xdr:sp macro="" textlink="">
      <xdr:nvSpPr>
        <xdr:cNvPr id="29" name="Rectangle 28">
          <a:extLst>
            <a:ext uri="{FF2B5EF4-FFF2-40B4-BE49-F238E27FC236}">
              <a16:creationId xmlns:a16="http://schemas.microsoft.com/office/drawing/2014/main" id="{53695BEF-5A75-43D2-9CC1-5E6EC4FF3E5D}"/>
            </a:ext>
          </a:extLst>
        </xdr:cNvPr>
        <xdr:cNvSpPr/>
      </xdr:nvSpPr>
      <xdr:spPr>
        <a:xfrm>
          <a:off x="15924944" y="1031083"/>
          <a:ext cx="5584766" cy="7085501"/>
        </a:xfrm>
        <a:prstGeom prst="rect">
          <a:avLst/>
        </a:prstGeom>
        <a:noFill/>
        <a:ln w="34925">
          <a:solidFill>
            <a:schemeClr val="accent1"/>
          </a:solidFill>
        </a:ln>
        <a:effectLst>
          <a:glow rad="228600">
            <a:schemeClr val="accent3">
              <a:satMod val="175000"/>
              <a:alpha val="40000"/>
            </a:schemeClr>
          </a:glo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en-CA" sz="1600" b="0" kern="1200" cap="none" spc="0">
            <a:ln w="0"/>
            <a:solidFill>
              <a:srgbClr val="003C66"/>
            </a:solidFill>
            <a:effectLst>
              <a:outerShdw blurRad="38100" dist="25400" dir="5400000" algn="ctr" rotWithShape="0">
                <a:srgbClr val="6E747A">
                  <a:alpha val="43000"/>
                </a:srgbClr>
              </a:outerShdw>
            </a:effectLst>
          </a:endParaRPr>
        </a:p>
      </xdr:txBody>
    </xdr:sp>
    <xdr:clientData/>
  </xdr:twoCellAnchor>
  <xdr:twoCellAnchor>
    <xdr:from>
      <xdr:col>27</xdr:col>
      <xdr:colOff>189654</xdr:colOff>
      <xdr:row>2</xdr:row>
      <xdr:rowOff>335714</xdr:rowOff>
    </xdr:from>
    <xdr:to>
      <xdr:col>35</xdr:col>
      <xdr:colOff>188359</xdr:colOff>
      <xdr:row>3</xdr:row>
      <xdr:rowOff>190215</xdr:rowOff>
    </xdr:to>
    <xdr:sp macro="" textlink="">
      <xdr:nvSpPr>
        <xdr:cNvPr id="30" name="Rectangle 29">
          <a:extLst>
            <a:ext uri="{FF2B5EF4-FFF2-40B4-BE49-F238E27FC236}">
              <a16:creationId xmlns:a16="http://schemas.microsoft.com/office/drawing/2014/main" id="{7C84D46A-D904-42C2-973E-EFE498881B08}"/>
            </a:ext>
          </a:extLst>
        </xdr:cNvPr>
        <xdr:cNvSpPr/>
      </xdr:nvSpPr>
      <xdr:spPr>
        <a:xfrm>
          <a:off x="16294396" y="1217579"/>
          <a:ext cx="4861806" cy="325400"/>
        </a:xfrm>
        <a:prstGeom prst="rect">
          <a:avLst/>
        </a:prstGeom>
        <a:solidFill>
          <a:srgbClr val="E0F3FC"/>
        </a:solidFill>
        <a:ln w="34925">
          <a:solidFill>
            <a:srgbClr val="003C66"/>
          </a:solidFill>
        </a:ln>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0" kern="1200" cap="none" spc="0" baseline="0">
              <a:ln w="0"/>
              <a:solidFill>
                <a:srgbClr val="003C66"/>
              </a:solidFill>
              <a:effectLst>
                <a:outerShdw blurRad="38100" dist="25400" dir="5400000" algn="ctr" rotWithShape="0">
                  <a:srgbClr val="6E747A">
                    <a:alpha val="43000"/>
                  </a:srgbClr>
                </a:outerShdw>
              </a:effectLst>
            </a:rPr>
            <a:t>Goals Summary</a:t>
          </a:r>
          <a:endParaRPr lang="en-CA" sz="1600" b="0" kern="1200" cap="none" spc="0">
            <a:ln w="0"/>
            <a:solidFill>
              <a:srgbClr val="003C66"/>
            </a:solidFill>
            <a:effectLst>
              <a:outerShdw blurRad="38100" dist="25400" dir="5400000" algn="ctr" rotWithShape="0">
                <a:srgbClr val="6E747A">
                  <a:alpha val="43000"/>
                </a:srgbClr>
              </a:outerShdw>
            </a:effectLst>
          </a:endParaRPr>
        </a:p>
      </xdr:txBody>
    </xdr:sp>
    <xdr:clientData/>
  </xdr:twoCellAnchor>
  <xdr:twoCellAnchor>
    <xdr:from>
      <xdr:col>27</xdr:col>
      <xdr:colOff>327596</xdr:colOff>
      <xdr:row>7</xdr:row>
      <xdr:rowOff>43467</xdr:rowOff>
    </xdr:from>
    <xdr:to>
      <xdr:col>35</xdr:col>
      <xdr:colOff>22796</xdr:colOff>
      <xdr:row>33</xdr:row>
      <xdr:rowOff>20325</xdr:rowOff>
    </xdr:to>
    <xdr:graphicFrame macro="">
      <xdr:nvGraphicFramePr>
        <xdr:cNvPr id="31" name="Chart 30">
          <a:extLst>
            <a:ext uri="{FF2B5EF4-FFF2-40B4-BE49-F238E27FC236}">
              <a16:creationId xmlns:a16="http://schemas.microsoft.com/office/drawing/2014/main" id="{F744F564-3DA1-4AFD-AEDC-263F3532D7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403489</xdr:colOff>
      <xdr:row>38</xdr:row>
      <xdr:rowOff>49931</xdr:rowOff>
    </xdr:from>
    <xdr:to>
      <xdr:col>35</xdr:col>
      <xdr:colOff>568657</xdr:colOff>
      <xdr:row>85</xdr:row>
      <xdr:rowOff>148167</xdr:rowOff>
    </xdr:to>
    <xdr:sp macro="" textlink="">
      <xdr:nvSpPr>
        <xdr:cNvPr id="32" name="Rectangle 31">
          <a:extLst>
            <a:ext uri="{FF2B5EF4-FFF2-40B4-BE49-F238E27FC236}">
              <a16:creationId xmlns:a16="http://schemas.microsoft.com/office/drawing/2014/main" id="{68FE5DBF-2166-4103-9C8C-C74B9A0FE1C8}"/>
            </a:ext>
          </a:extLst>
        </xdr:cNvPr>
        <xdr:cNvSpPr/>
      </xdr:nvSpPr>
      <xdr:spPr>
        <a:xfrm>
          <a:off x="3769937" y="8545662"/>
          <a:ext cx="17975496" cy="8650833"/>
        </a:xfrm>
        <a:prstGeom prst="rect">
          <a:avLst/>
        </a:prstGeom>
        <a:noFill/>
        <a:ln w="34925">
          <a:solidFill>
            <a:schemeClr val="accent1"/>
          </a:solidFill>
        </a:ln>
        <a:effectLst>
          <a:glow rad="228600">
            <a:schemeClr val="accent3">
              <a:satMod val="175000"/>
              <a:alpha val="40000"/>
            </a:schemeClr>
          </a:glo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en-CA" sz="1600" b="0" kern="1200" cap="none" spc="0">
            <a:ln w="0"/>
            <a:solidFill>
              <a:srgbClr val="003C66"/>
            </a:solidFill>
            <a:effectLst>
              <a:outerShdw blurRad="38100" dist="25400" dir="5400000" algn="ctr" rotWithShape="0">
                <a:srgbClr val="6E747A">
                  <a:alpha val="43000"/>
                </a:srgbClr>
              </a:outerShdw>
            </a:effectLst>
          </a:endParaRPr>
        </a:p>
      </xdr:txBody>
    </xdr:sp>
    <xdr:clientData/>
  </xdr:twoCellAnchor>
  <xdr:twoCellAnchor>
    <xdr:from>
      <xdr:col>7</xdr:col>
      <xdr:colOff>102358</xdr:colOff>
      <xdr:row>39</xdr:row>
      <xdr:rowOff>87745</xdr:rowOff>
    </xdr:from>
    <xdr:to>
      <xdr:col>35</xdr:col>
      <xdr:colOff>272954</xdr:colOff>
      <xdr:row>42</xdr:row>
      <xdr:rowOff>23091</xdr:rowOff>
    </xdr:to>
    <xdr:sp macro="" textlink="">
      <xdr:nvSpPr>
        <xdr:cNvPr id="33" name="Rectangle 32">
          <a:extLst>
            <a:ext uri="{FF2B5EF4-FFF2-40B4-BE49-F238E27FC236}">
              <a16:creationId xmlns:a16="http://schemas.microsoft.com/office/drawing/2014/main" id="{DD3D99BB-7FB9-4991-8771-B50C21084955}"/>
            </a:ext>
          </a:extLst>
        </xdr:cNvPr>
        <xdr:cNvSpPr/>
      </xdr:nvSpPr>
      <xdr:spPr>
        <a:xfrm>
          <a:off x="4082955" y="8765446"/>
          <a:ext cx="17366775" cy="481257"/>
        </a:xfrm>
        <a:prstGeom prst="rect">
          <a:avLst/>
        </a:prstGeom>
        <a:solidFill>
          <a:srgbClr val="E0F3FC"/>
        </a:solidFill>
        <a:ln w="34925">
          <a:solidFill>
            <a:srgbClr val="003C66"/>
          </a:solidFill>
        </a:ln>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0" kern="1200" cap="none" spc="0" baseline="0">
              <a:ln w="0"/>
              <a:solidFill>
                <a:srgbClr val="003C66"/>
              </a:solidFill>
              <a:effectLst>
                <a:outerShdw blurRad="38100" dist="25400" dir="5400000" algn="ctr" rotWithShape="0">
                  <a:srgbClr val="6E747A">
                    <a:alpha val="43000"/>
                  </a:srgbClr>
                </a:outerShdw>
              </a:effectLst>
            </a:rPr>
            <a:t>Income &amp; Expenses Summary </a:t>
          </a:r>
          <a:endParaRPr lang="en-CA" sz="1600" b="0" kern="1200" cap="none" spc="0">
            <a:ln w="0"/>
            <a:solidFill>
              <a:srgbClr val="003C66"/>
            </a:solidFill>
            <a:effectLst>
              <a:outerShdw blurRad="38100" dist="25400" dir="5400000" algn="ctr" rotWithShape="0">
                <a:srgbClr val="6E747A">
                  <a:alpha val="43000"/>
                </a:srgbClr>
              </a:outerShdw>
            </a:effectLst>
          </a:endParaRPr>
        </a:p>
      </xdr:txBody>
    </xdr:sp>
    <xdr:clientData/>
  </xdr:twoCellAnchor>
  <xdr:twoCellAnchor editAs="oneCell">
    <xdr:from>
      <xdr:col>18</xdr:col>
      <xdr:colOff>276613</xdr:colOff>
      <xdr:row>45</xdr:row>
      <xdr:rowOff>42485</xdr:rowOff>
    </xdr:from>
    <xdr:to>
      <xdr:col>21</xdr:col>
      <xdr:colOff>4865</xdr:colOff>
      <xdr:row>58</xdr:row>
      <xdr:rowOff>88149</xdr:rowOff>
    </xdr:to>
    <mc:AlternateContent xmlns:mc="http://schemas.openxmlformats.org/markup-compatibility/2006" xmlns:a14="http://schemas.microsoft.com/office/drawing/2010/main">
      <mc:Choice Requires="a14">
        <xdr:graphicFrame macro="">
          <xdr:nvGraphicFramePr>
            <xdr:cNvPr id="34" name="Account 1">
              <a:extLst>
                <a:ext uri="{FF2B5EF4-FFF2-40B4-BE49-F238E27FC236}">
                  <a16:creationId xmlns:a16="http://schemas.microsoft.com/office/drawing/2014/main" id="{AE1505D4-8CC3-4708-839D-FC8FD057D74C}"/>
                </a:ext>
              </a:extLst>
            </xdr:cNvPr>
            <xdr:cNvGraphicFramePr/>
          </xdr:nvGraphicFramePr>
          <xdr:xfrm>
            <a:off x="0" y="0"/>
            <a:ext cx="0" cy="0"/>
          </xdr:xfrm>
          <a:graphic>
            <a:graphicData uri="http://schemas.microsoft.com/office/drawing/2010/slicer">
              <sle:slicer xmlns:sle="http://schemas.microsoft.com/office/drawing/2010/slicer" name="Account 1"/>
            </a:graphicData>
          </a:graphic>
        </xdr:graphicFrame>
      </mc:Choice>
      <mc:Fallback xmlns="">
        <xdr:sp macro="" textlink="">
          <xdr:nvSpPr>
            <xdr:cNvPr id="0" name=""/>
            <xdr:cNvSpPr>
              <a:spLocks noTextEdit="1"/>
            </xdr:cNvSpPr>
          </xdr:nvSpPr>
          <xdr:spPr>
            <a:xfrm>
              <a:off x="11041890" y="9656655"/>
              <a:ext cx="1576507" cy="236409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101234</xdr:colOff>
      <xdr:row>45</xdr:row>
      <xdr:rowOff>43141</xdr:rowOff>
    </xdr:from>
    <xdr:to>
      <xdr:col>18</xdr:col>
      <xdr:colOff>162560</xdr:colOff>
      <xdr:row>65</xdr:row>
      <xdr:rowOff>147846</xdr:rowOff>
    </xdr:to>
    <xdr:graphicFrame macro="">
      <xdr:nvGraphicFramePr>
        <xdr:cNvPr id="35" name="Chart 34">
          <a:extLst>
            <a:ext uri="{FF2B5EF4-FFF2-40B4-BE49-F238E27FC236}">
              <a16:creationId xmlns:a16="http://schemas.microsoft.com/office/drawing/2014/main" id="{D71261B7-06CF-4528-AEDA-A2FD19123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114858</xdr:colOff>
      <xdr:row>42</xdr:row>
      <xdr:rowOff>160696</xdr:rowOff>
    </xdr:from>
    <xdr:to>
      <xdr:col>20</xdr:col>
      <xdr:colOff>602776</xdr:colOff>
      <xdr:row>44</xdr:row>
      <xdr:rowOff>103632</xdr:rowOff>
    </xdr:to>
    <xdr:sp macro="" textlink="">
      <xdr:nvSpPr>
        <xdr:cNvPr id="38" name="Rectangle 37">
          <a:extLst>
            <a:ext uri="{FF2B5EF4-FFF2-40B4-BE49-F238E27FC236}">
              <a16:creationId xmlns:a16="http://schemas.microsoft.com/office/drawing/2014/main" id="{60E34E9F-6648-4701-A079-8B7DB91ADDD6}"/>
            </a:ext>
          </a:extLst>
        </xdr:cNvPr>
        <xdr:cNvSpPr/>
      </xdr:nvSpPr>
      <xdr:spPr>
        <a:xfrm>
          <a:off x="4071162" y="9414424"/>
          <a:ext cx="8412718" cy="308696"/>
        </a:xfrm>
        <a:prstGeom prst="rect">
          <a:avLst/>
        </a:prstGeom>
        <a:solidFill>
          <a:srgbClr val="EAE7FF"/>
        </a:solidFill>
        <a:ln w="34925">
          <a:solidFill>
            <a:srgbClr val="003C66"/>
          </a:solidFill>
        </a:ln>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0" kern="1200" cap="none" spc="0" baseline="0">
              <a:ln w="0"/>
              <a:solidFill>
                <a:srgbClr val="003C66"/>
              </a:solidFill>
              <a:effectLst>
                <a:outerShdw blurRad="38100" dist="25400" dir="5400000" algn="ctr" rotWithShape="0">
                  <a:srgbClr val="6E747A">
                    <a:alpha val="43000"/>
                  </a:srgbClr>
                </a:outerShdw>
              </a:effectLst>
            </a:rPr>
            <a:t>Combined </a:t>
          </a:r>
          <a:endParaRPr lang="en-CA" sz="1600" b="0" kern="1200" cap="none" spc="0">
            <a:ln w="0"/>
            <a:solidFill>
              <a:srgbClr val="003C66"/>
            </a:solidFill>
            <a:effectLst>
              <a:outerShdw blurRad="38100" dist="25400" dir="5400000" algn="ctr" rotWithShape="0">
                <a:srgbClr val="6E747A">
                  <a:alpha val="43000"/>
                </a:srgbClr>
              </a:outerShdw>
            </a:effectLst>
          </a:endParaRPr>
        </a:p>
      </xdr:txBody>
    </xdr:sp>
    <xdr:clientData/>
  </xdr:twoCellAnchor>
  <xdr:twoCellAnchor>
    <xdr:from>
      <xdr:col>7</xdr:col>
      <xdr:colOff>75662</xdr:colOff>
      <xdr:row>66</xdr:row>
      <xdr:rowOff>165520</xdr:rowOff>
    </xdr:from>
    <xdr:to>
      <xdr:col>21</xdr:col>
      <xdr:colOff>0</xdr:colOff>
      <xdr:row>68</xdr:row>
      <xdr:rowOff>77492</xdr:rowOff>
    </xdr:to>
    <xdr:sp macro="" textlink="">
      <xdr:nvSpPr>
        <xdr:cNvPr id="39" name="Rectangle 38">
          <a:extLst>
            <a:ext uri="{FF2B5EF4-FFF2-40B4-BE49-F238E27FC236}">
              <a16:creationId xmlns:a16="http://schemas.microsoft.com/office/drawing/2014/main" id="{F71F4A71-CF84-4849-A444-C06CC16FE396}"/>
            </a:ext>
          </a:extLst>
        </xdr:cNvPr>
        <xdr:cNvSpPr/>
      </xdr:nvSpPr>
      <xdr:spPr>
        <a:xfrm>
          <a:off x="4014815" y="13700706"/>
          <a:ext cx="8422575" cy="273600"/>
        </a:xfrm>
        <a:prstGeom prst="rect">
          <a:avLst/>
        </a:prstGeom>
        <a:solidFill>
          <a:srgbClr val="EAE7FF"/>
        </a:solidFill>
        <a:ln w="34925">
          <a:solidFill>
            <a:srgbClr val="003C66"/>
          </a:solidFill>
        </a:ln>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0" kern="1200" cap="none" spc="0" baseline="0">
              <a:ln w="0"/>
              <a:solidFill>
                <a:srgbClr val="003C66"/>
              </a:solidFill>
              <a:effectLst>
                <a:outerShdw blurRad="38100" dist="25400" dir="5400000" algn="ctr" rotWithShape="0">
                  <a:srgbClr val="6E747A">
                    <a:alpha val="43000"/>
                  </a:srgbClr>
                </a:outerShdw>
              </a:effectLst>
            </a:rPr>
            <a:t>Expenses</a:t>
          </a:r>
          <a:endParaRPr lang="en-CA" sz="1600" b="0" kern="1200" cap="none" spc="0">
            <a:ln w="0"/>
            <a:solidFill>
              <a:srgbClr val="003C66"/>
            </a:solidFill>
            <a:effectLst>
              <a:outerShdw blurRad="38100" dist="25400" dir="5400000" algn="ctr" rotWithShape="0">
                <a:srgbClr val="6E747A">
                  <a:alpha val="43000"/>
                </a:srgbClr>
              </a:outerShdw>
            </a:effectLst>
          </a:endParaRPr>
        </a:p>
      </xdr:txBody>
    </xdr:sp>
    <xdr:clientData/>
  </xdr:twoCellAnchor>
  <xdr:twoCellAnchor>
    <xdr:from>
      <xdr:col>21</xdr:col>
      <xdr:colOff>109473</xdr:colOff>
      <xdr:row>42</xdr:row>
      <xdr:rowOff>157993</xdr:rowOff>
    </xdr:from>
    <xdr:to>
      <xdr:col>35</xdr:col>
      <xdr:colOff>288463</xdr:colOff>
      <xdr:row>44</xdr:row>
      <xdr:rowOff>89065</xdr:rowOff>
    </xdr:to>
    <xdr:sp macro="" textlink="">
      <xdr:nvSpPr>
        <xdr:cNvPr id="40" name="Rectangle 39">
          <a:extLst>
            <a:ext uri="{FF2B5EF4-FFF2-40B4-BE49-F238E27FC236}">
              <a16:creationId xmlns:a16="http://schemas.microsoft.com/office/drawing/2014/main" id="{2776BA2A-97F5-477A-B99F-97A8DABD9101}"/>
            </a:ext>
          </a:extLst>
        </xdr:cNvPr>
        <xdr:cNvSpPr/>
      </xdr:nvSpPr>
      <xdr:spPr>
        <a:xfrm>
          <a:off x="12688160" y="9381605"/>
          <a:ext cx="8777079" cy="295012"/>
        </a:xfrm>
        <a:prstGeom prst="rect">
          <a:avLst/>
        </a:prstGeom>
        <a:solidFill>
          <a:srgbClr val="EAE7FF"/>
        </a:solidFill>
        <a:ln w="34925">
          <a:solidFill>
            <a:srgbClr val="003C66"/>
          </a:solidFill>
        </a:ln>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0" kern="1200" cap="none" spc="0" baseline="0">
              <a:ln w="0"/>
              <a:solidFill>
                <a:srgbClr val="003C66"/>
              </a:solidFill>
              <a:effectLst>
                <a:outerShdw blurRad="38100" dist="25400" dir="5400000" algn="ctr" rotWithShape="0">
                  <a:srgbClr val="6E747A">
                    <a:alpha val="43000"/>
                  </a:srgbClr>
                </a:outerShdw>
              </a:effectLst>
            </a:rPr>
            <a:t>Income</a:t>
          </a:r>
          <a:endParaRPr lang="en-CA" sz="1600" b="0" kern="1200" cap="none" spc="0">
            <a:ln w="0"/>
            <a:solidFill>
              <a:srgbClr val="003C66"/>
            </a:solidFill>
            <a:effectLst>
              <a:outerShdw blurRad="38100" dist="25400" dir="5400000" algn="ctr" rotWithShape="0">
                <a:srgbClr val="6E747A">
                  <a:alpha val="43000"/>
                </a:srgbClr>
              </a:outerShdw>
            </a:effectLst>
          </a:endParaRPr>
        </a:p>
      </xdr:txBody>
    </xdr:sp>
    <xdr:clientData/>
  </xdr:twoCellAnchor>
  <xdr:twoCellAnchor>
    <xdr:from>
      <xdr:col>7</xdr:col>
      <xdr:colOff>9362</xdr:colOff>
      <xdr:row>68</xdr:row>
      <xdr:rowOff>132543</xdr:rowOff>
    </xdr:from>
    <xdr:to>
      <xdr:col>16</xdr:col>
      <xdr:colOff>193729</xdr:colOff>
      <xdr:row>84</xdr:row>
      <xdr:rowOff>141610</xdr:rowOff>
    </xdr:to>
    <xdr:graphicFrame macro="">
      <xdr:nvGraphicFramePr>
        <xdr:cNvPr id="41" name="Chart 40">
          <a:extLst>
            <a:ext uri="{FF2B5EF4-FFF2-40B4-BE49-F238E27FC236}">
              <a16:creationId xmlns:a16="http://schemas.microsoft.com/office/drawing/2014/main" id="{14719B3C-E0B9-4998-B293-B5BAEC2171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279230</xdr:colOff>
      <xdr:row>69</xdr:row>
      <xdr:rowOff>2691</xdr:rowOff>
    </xdr:from>
    <xdr:to>
      <xdr:col>18</xdr:col>
      <xdr:colOff>375584</xdr:colOff>
      <xdr:row>84</xdr:row>
      <xdr:rowOff>23145</xdr:rowOff>
    </xdr:to>
    <mc:AlternateContent xmlns:mc="http://schemas.openxmlformats.org/markup-compatibility/2006" xmlns:a14="http://schemas.microsoft.com/office/drawing/2010/main">
      <mc:Choice Requires="a14">
        <xdr:graphicFrame macro="">
          <xdr:nvGraphicFramePr>
            <xdr:cNvPr id="42" name="Category  1">
              <a:extLst>
                <a:ext uri="{FF2B5EF4-FFF2-40B4-BE49-F238E27FC236}">
                  <a16:creationId xmlns:a16="http://schemas.microsoft.com/office/drawing/2014/main" id="{3FD325EA-9CBA-4076-A5AA-9BC06ABC4F2E}"/>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812336" y="13897031"/>
              <a:ext cx="1328525" cy="269556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428996</xdr:colOff>
      <xdr:row>69</xdr:row>
      <xdr:rowOff>3649</xdr:rowOff>
    </xdr:from>
    <xdr:to>
      <xdr:col>20</xdr:col>
      <xdr:colOff>544407</xdr:colOff>
      <xdr:row>84</xdr:row>
      <xdr:rowOff>51359</xdr:rowOff>
    </xdr:to>
    <mc:AlternateContent xmlns:mc="http://schemas.openxmlformats.org/markup-compatibility/2006" xmlns:a14="http://schemas.microsoft.com/office/drawing/2010/main">
      <mc:Choice Requires="a14">
        <xdr:graphicFrame macro="">
          <xdr:nvGraphicFramePr>
            <xdr:cNvPr id="43" name="Account Used 1">
              <a:extLst>
                <a:ext uri="{FF2B5EF4-FFF2-40B4-BE49-F238E27FC236}">
                  <a16:creationId xmlns:a16="http://schemas.microsoft.com/office/drawing/2014/main" id="{BB464102-0F52-4693-BC1B-16EEE4942046}"/>
                </a:ext>
              </a:extLst>
            </xdr:cNvPr>
            <xdr:cNvGraphicFramePr/>
          </xdr:nvGraphicFramePr>
          <xdr:xfrm>
            <a:off x="0" y="0"/>
            <a:ext cx="0" cy="0"/>
          </xdr:xfrm>
          <a:graphic>
            <a:graphicData uri="http://schemas.microsoft.com/office/drawing/2010/slicer">
              <sle:slicer xmlns:sle="http://schemas.microsoft.com/office/drawing/2010/slicer" name="Account Used 1"/>
            </a:graphicData>
          </a:graphic>
        </xdr:graphicFrame>
      </mc:Choice>
      <mc:Fallback xmlns="">
        <xdr:sp macro="" textlink="">
          <xdr:nvSpPr>
            <xdr:cNvPr id="0" name=""/>
            <xdr:cNvSpPr>
              <a:spLocks noTextEdit="1"/>
            </xdr:cNvSpPr>
          </xdr:nvSpPr>
          <xdr:spPr>
            <a:xfrm>
              <a:off x="11194273" y="13897989"/>
              <a:ext cx="1347581" cy="272281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94727</xdr:colOff>
      <xdr:row>45</xdr:row>
      <xdr:rowOff>34065</xdr:rowOff>
    </xdr:from>
    <xdr:to>
      <xdr:col>30</xdr:col>
      <xdr:colOff>381000</xdr:colOff>
      <xdr:row>63</xdr:row>
      <xdr:rowOff>154982</xdr:rowOff>
    </xdr:to>
    <xdr:graphicFrame macro="">
      <xdr:nvGraphicFramePr>
        <xdr:cNvPr id="3" name="Chart 2">
          <a:extLst>
            <a:ext uri="{FF2B5EF4-FFF2-40B4-BE49-F238E27FC236}">
              <a16:creationId xmlns:a16="http://schemas.microsoft.com/office/drawing/2014/main" id="{67547E2B-7086-4F09-834B-A5CC712C90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30</xdr:col>
      <xdr:colOff>435790</xdr:colOff>
      <xdr:row>45</xdr:row>
      <xdr:rowOff>76794</xdr:rowOff>
    </xdr:from>
    <xdr:to>
      <xdr:col>33</xdr:col>
      <xdr:colOff>14111</xdr:colOff>
      <xdr:row>58</xdr:row>
      <xdr:rowOff>151408</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9913B45F-C7FA-4D40-9798-00FB9654959C}"/>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8594088" y="9690964"/>
              <a:ext cx="1426576" cy="239304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44550</xdr:colOff>
      <xdr:row>45</xdr:row>
      <xdr:rowOff>66637</xdr:rowOff>
    </xdr:from>
    <xdr:to>
      <xdr:col>35</xdr:col>
      <xdr:colOff>239889</xdr:colOff>
      <xdr:row>58</xdr:row>
      <xdr:rowOff>139631</xdr:rowOff>
    </xdr:to>
    <mc:AlternateContent xmlns:mc="http://schemas.openxmlformats.org/markup-compatibility/2006" xmlns:a14="http://schemas.microsoft.com/office/drawing/2010/main">
      <mc:Choice Requires="a14">
        <xdr:graphicFrame macro="">
          <xdr:nvGraphicFramePr>
            <xdr:cNvPr id="5" name="Source 1">
              <a:extLst>
                <a:ext uri="{FF2B5EF4-FFF2-40B4-BE49-F238E27FC236}">
                  <a16:creationId xmlns:a16="http://schemas.microsoft.com/office/drawing/2014/main" id="{78F99D70-470C-4F11-BA4D-B66FB67D6E24}"/>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20051103" y="9680807"/>
              <a:ext cx="1427509" cy="239142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109268</xdr:colOff>
      <xdr:row>64</xdr:row>
      <xdr:rowOff>84667</xdr:rowOff>
    </xdr:from>
    <xdr:to>
      <xdr:col>28</xdr:col>
      <xdr:colOff>409223</xdr:colOff>
      <xdr:row>84</xdr:row>
      <xdr:rowOff>74018</xdr:rowOff>
    </xdr:to>
    <xdr:graphicFrame macro="">
      <xdr:nvGraphicFramePr>
        <xdr:cNvPr id="6" name="Chart 5">
          <a:extLst>
            <a:ext uri="{FF2B5EF4-FFF2-40B4-BE49-F238E27FC236}">
              <a16:creationId xmlns:a16="http://schemas.microsoft.com/office/drawing/2014/main" id="{739AE488-3F4A-4F2C-8AFD-F513BD1B43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28</xdr:col>
      <xdr:colOff>483356</xdr:colOff>
      <xdr:row>64</xdr:row>
      <xdr:rowOff>90429</xdr:rowOff>
    </xdr:from>
    <xdr:to>
      <xdr:col>30</xdr:col>
      <xdr:colOff>601412</xdr:colOff>
      <xdr:row>78</xdr:row>
      <xdr:rowOff>3094</xdr:rowOff>
    </xdr:to>
    <mc:AlternateContent xmlns:mc="http://schemas.openxmlformats.org/markup-compatibility/2006" xmlns:a14="http://schemas.microsoft.com/office/drawing/2010/main">
      <mc:Choice Requires="a14">
        <xdr:graphicFrame macro="">
          <xdr:nvGraphicFramePr>
            <xdr:cNvPr id="9" name="Months (Date) 1">
              <a:extLst>
                <a:ext uri="{FF2B5EF4-FFF2-40B4-BE49-F238E27FC236}">
                  <a16:creationId xmlns:a16="http://schemas.microsoft.com/office/drawing/2014/main" id="{A147F295-5E72-48D0-A249-9B482188D54D}"/>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17409484" y="13093067"/>
              <a:ext cx="1350226" cy="240943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409222</xdr:colOff>
      <xdr:row>64</xdr:row>
      <xdr:rowOff>98776</xdr:rowOff>
    </xdr:from>
    <xdr:to>
      <xdr:col>35</xdr:col>
      <xdr:colOff>423333</xdr:colOff>
      <xdr:row>78</xdr:row>
      <xdr:rowOff>10448</xdr:rowOff>
    </xdr:to>
    <mc:AlternateContent xmlns:mc="http://schemas.openxmlformats.org/markup-compatibility/2006" xmlns:a14="http://schemas.microsoft.com/office/drawing/2010/main">
      <mc:Choice Requires="a14">
        <xdr:graphicFrame macro="">
          <xdr:nvGraphicFramePr>
            <xdr:cNvPr id="10" name="Category 2">
              <a:extLst>
                <a:ext uri="{FF2B5EF4-FFF2-40B4-BE49-F238E27FC236}">
                  <a16:creationId xmlns:a16="http://schemas.microsoft.com/office/drawing/2014/main" id="{C6FD3F16-8924-4D76-9E1C-9980ED31B26F}"/>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0415775" y="13101414"/>
              <a:ext cx="1246281" cy="240843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51673</xdr:colOff>
      <xdr:row>64</xdr:row>
      <xdr:rowOff>90431</xdr:rowOff>
    </xdr:from>
    <xdr:to>
      <xdr:col>33</xdr:col>
      <xdr:colOff>351506</xdr:colOff>
      <xdr:row>78</xdr:row>
      <xdr:rowOff>3096</xdr:rowOff>
    </xdr:to>
    <mc:AlternateContent xmlns:mc="http://schemas.openxmlformats.org/markup-compatibility/2006" xmlns:a14="http://schemas.microsoft.com/office/drawing/2010/main">
      <mc:Choice Requires="a14">
        <xdr:graphicFrame macro="">
          <xdr:nvGraphicFramePr>
            <xdr:cNvPr id="11" name="Account Deposited">
              <a:extLst>
                <a:ext uri="{FF2B5EF4-FFF2-40B4-BE49-F238E27FC236}">
                  <a16:creationId xmlns:a16="http://schemas.microsoft.com/office/drawing/2014/main" id="{CD4BB653-7298-4ED7-B491-CE1614696EF4}"/>
                </a:ext>
              </a:extLst>
            </xdr:cNvPr>
            <xdr:cNvGraphicFramePr/>
          </xdr:nvGraphicFramePr>
          <xdr:xfrm>
            <a:off x="0" y="0"/>
            <a:ext cx="0" cy="0"/>
          </xdr:xfrm>
          <a:graphic>
            <a:graphicData uri="http://schemas.microsoft.com/office/drawing/2010/slicer">
              <sle:slicer xmlns:sle="http://schemas.microsoft.com/office/drawing/2010/slicer" name="Account Deposited"/>
            </a:graphicData>
          </a:graphic>
        </xdr:graphicFrame>
      </mc:Choice>
      <mc:Fallback xmlns="">
        <xdr:sp macro="" textlink="">
          <xdr:nvSpPr>
            <xdr:cNvPr id="0" name=""/>
            <xdr:cNvSpPr>
              <a:spLocks noTextEdit="1"/>
            </xdr:cNvSpPr>
          </xdr:nvSpPr>
          <xdr:spPr>
            <a:xfrm>
              <a:off x="18826056" y="13093069"/>
              <a:ext cx="1532003" cy="240943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175847</xdr:colOff>
      <xdr:row>13</xdr:row>
      <xdr:rowOff>58615</xdr:rowOff>
    </xdr:from>
    <xdr:to>
      <xdr:col>1</xdr:col>
      <xdr:colOff>1024375</xdr:colOff>
      <xdr:row>16</xdr:row>
      <xdr:rowOff>36391</xdr:rowOff>
    </xdr:to>
    <xdr:sp macro="[0]!LogIncome" textlink="">
      <xdr:nvSpPr>
        <xdr:cNvPr id="2" name="Rectangle 1">
          <a:extLst>
            <a:ext uri="{FF2B5EF4-FFF2-40B4-BE49-F238E27FC236}">
              <a16:creationId xmlns:a16="http://schemas.microsoft.com/office/drawing/2014/main" id="{84E4D265-6B1D-406F-81F9-BF8F9C17B2EA}"/>
            </a:ext>
          </a:extLst>
        </xdr:cNvPr>
        <xdr:cNvSpPr/>
      </xdr:nvSpPr>
      <xdr:spPr>
        <a:xfrm>
          <a:off x="175847" y="2735384"/>
          <a:ext cx="2548374" cy="534622"/>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Log</a:t>
          </a:r>
          <a:r>
            <a:rPr lang="en-CA" sz="1600" b="1" kern="1200" cap="none" spc="50" baseline="0">
              <a:ln w="0"/>
              <a:solidFill>
                <a:schemeClr val="bg1"/>
              </a:solidFill>
              <a:effectLst>
                <a:innerShdw blurRad="63500" dist="50800" dir="13500000">
                  <a:srgbClr val="000000">
                    <a:alpha val="50000"/>
                  </a:srgbClr>
                </a:innerShdw>
              </a:effectLst>
            </a:rPr>
            <a:t> Income</a:t>
          </a:r>
          <a:endParaRPr lang="en-CA" sz="1600" b="1" kern="1200" cap="none" spc="50">
            <a:ln w="0"/>
            <a:solidFill>
              <a:schemeClr val="bg1"/>
            </a:solidFill>
            <a:effectLst>
              <a:innerShdw blurRad="63500" dist="50800" dir="13500000">
                <a:srgbClr val="000000">
                  <a:alpha val="50000"/>
                </a:srgbClr>
              </a:innerShdw>
            </a:effectLst>
          </a:endParaRPr>
        </a:p>
      </xdr:txBody>
    </xdr:sp>
    <xdr:clientData/>
  </xdr:twoCellAnchor>
  <xdr:twoCellAnchor>
    <xdr:from>
      <xdr:col>0</xdr:col>
      <xdr:colOff>195385</xdr:colOff>
      <xdr:row>9</xdr:row>
      <xdr:rowOff>175846</xdr:rowOff>
    </xdr:from>
    <xdr:to>
      <xdr:col>1</xdr:col>
      <xdr:colOff>1043913</xdr:colOff>
      <xdr:row>12</xdr:row>
      <xdr:rowOff>114545</xdr:rowOff>
    </xdr:to>
    <xdr:sp macro="[0]!LogExpense" textlink="">
      <xdr:nvSpPr>
        <xdr:cNvPr id="3" name="Rectangle 2">
          <a:extLst>
            <a:ext uri="{FF2B5EF4-FFF2-40B4-BE49-F238E27FC236}">
              <a16:creationId xmlns:a16="http://schemas.microsoft.com/office/drawing/2014/main" id="{AE4194D2-9DB7-4070-A3B3-B7FBF3A921F8}"/>
            </a:ext>
          </a:extLst>
        </xdr:cNvPr>
        <xdr:cNvSpPr/>
      </xdr:nvSpPr>
      <xdr:spPr>
        <a:xfrm>
          <a:off x="195385" y="2032000"/>
          <a:ext cx="2548374" cy="534622"/>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Log</a:t>
          </a:r>
          <a:r>
            <a:rPr lang="en-CA" sz="1600" b="1" kern="1200" cap="none" spc="50" baseline="0">
              <a:ln w="0"/>
              <a:solidFill>
                <a:schemeClr val="bg1"/>
              </a:solidFill>
              <a:effectLst>
                <a:innerShdw blurRad="63500" dist="50800" dir="13500000">
                  <a:srgbClr val="000000">
                    <a:alpha val="50000"/>
                  </a:srgbClr>
                </a:innerShdw>
              </a:effectLst>
            </a:rPr>
            <a:t> Expense</a:t>
          </a:r>
          <a:endParaRPr lang="en-CA" sz="1600" b="1" kern="1200" cap="none" spc="50">
            <a:ln w="0"/>
            <a:solidFill>
              <a:schemeClr val="bg1"/>
            </a:solidFill>
            <a:effectLst>
              <a:innerShdw blurRad="63500" dist="50800" dir="13500000">
                <a:srgbClr val="000000">
                  <a:alpha val="50000"/>
                </a:srgbClr>
              </a:innerShdw>
            </a:effectLst>
          </a:endParaRPr>
        </a:p>
      </xdr:txBody>
    </xdr:sp>
    <xdr:clientData/>
  </xdr:twoCellAnchor>
  <xdr:twoCellAnchor>
    <xdr:from>
      <xdr:col>0</xdr:col>
      <xdr:colOff>181709</xdr:colOff>
      <xdr:row>16</xdr:row>
      <xdr:rowOff>181708</xdr:rowOff>
    </xdr:from>
    <xdr:to>
      <xdr:col>1</xdr:col>
      <xdr:colOff>1084385</xdr:colOff>
      <xdr:row>20</xdr:row>
      <xdr:rowOff>39077</xdr:rowOff>
    </xdr:to>
    <xdr:sp macro="[0]!CategoryForm" textlink="">
      <xdr:nvSpPr>
        <xdr:cNvPr id="5" name="Rectangle 4">
          <a:extLst>
            <a:ext uri="{FF2B5EF4-FFF2-40B4-BE49-F238E27FC236}">
              <a16:creationId xmlns:a16="http://schemas.microsoft.com/office/drawing/2014/main" id="{EF4E5000-60F3-4007-847F-57C10D6A3502}"/>
            </a:ext>
          </a:extLst>
        </xdr:cNvPr>
        <xdr:cNvSpPr/>
      </xdr:nvSpPr>
      <xdr:spPr>
        <a:xfrm>
          <a:off x="181709" y="3415323"/>
          <a:ext cx="2602522" cy="599831"/>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Log</a:t>
          </a:r>
          <a:r>
            <a:rPr lang="en-CA" sz="1600" b="1" kern="1200" cap="none" spc="50" baseline="0">
              <a:ln w="0"/>
              <a:solidFill>
                <a:schemeClr val="bg1"/>
              </a:solidFill>
              <a:effectLst>
                <a:innerShdw blurRad="63500" dist="50800" dir="13500000">
                  <a:srgbClr val="000000">
                    <a:alpha val="50000"/>
                  </a:srgbClr>
                </a:innerShdw>
              </a:effectLst>
            </a:rPr>
            <a:t> Categories / Accounts</a:t>
          </a:r>
          <a:endParaRPr lang="en-CA" sz="1600" b="1" kern="1200" cap="none" spc="50">
            <a:ln w="0"/>
            <a:solidFill>
              <a:schemeClr val="bg1"/>
            </a:solidFill>
            <a:effectLst>
              <a:innerShdw blurRad="63500" dist="50800" dir="13500000">
                <a:srgbClr val="000000">
                  <a:alpha val="50000"/>
                </a:srgbClr>
              </a:innerShdw>
            </a:effectLst>
          </a:endParaRPr>
        </a:p>
      </xdr:txBody>
    </xdr:sp>
    <xdr:clientData/>
  </xdr:twoCellAnchor>
  <xdr:twoCellAnchor>
    <xdr:from>
      <xdr:col>0</xdr:col>
      <xdr:colOff>192016</xdr:colOff>
      <xdr:row>20</xdr:row>
      <xdr:rowOff>179266</xdr:rowOff>
    </xdr:from>
    <xdr:to>
      <xdr:col>1</xdr:col>
      <xdr:colOff>1074615</xdr:colOff>
      <xdr:row>25</xdr:row>
      <xdr:rowOff>146538</xdr:rowOff>
    </xdr:to>
    <xdr:sp macro="[0]!CreateIncomeExpenseList" textlink="">
      <xdr:nvSpPr>
        <xdr:cNvPr id="4" name="Rectangle 3">
          <a:extLst>
            <a:ext uri="{FF2B5EF4-FFF2-40B4-BE49-F238E27FC236}">
              <a16:creationId xmlns:a16="http://schemas.microsoft.com/office/drawing/2014/main" id="{06958AF0-8670-45F6-BE26-68B77FA21FFA}"/>
            </a:ext>
          </a:extLst>
        </xdr:cNvPr>
        <xdr:cNvSpPr/>
      </xdr:nvSpPr>
      <xdr:spPr>
        <a:xfrm>
          <a:off x="192016" y="4135804"/>
          <a:ext cx="2580003" cy="883138"/>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Update Combined Accounts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112544</xdr:colOff>
      <xdr:row>17</xdr:row>
      <xdr:rowOff>50800</xdr:rowOff>
    </xdr:from>
    <xdr:to>
      <xdr:col>2</xdr:col>
      <xdr:colOff>690880</xdr:colOff>
      <xdr:row>21</xdr:row>
      <xdr:rowOff>79071</xdr:rowOff>
    </xdr:to>
    <xdr:sp macro="[0]!ShowInvestementLogForm" textlink="">
      <xdr:nvSpPr>
        <xdr:cNvPr id="2" name="Rectangle 1">
          <a:extLst>
            <a:ext uri="{FF2B5EF4-FFF2-40B4-BE49-F238E27FC236}">
              <a16:creationId xmlns:a16="http://schemas.microsoft.com/office/drawing/2014/main" id="{70DDA203-1F36-4F5A-9789-DA48CD96D0F9}"/>
            </a:ext>
          </a:extLst>
        </xdr:cNvPr>
        <xdr:cNvSpPr/>
      </xdr:nvSpPr>
      <xdr:spPr>
        <a:xfrm>
          <a:off x="722144" y="4206240"/>
          <a:ext cx="2457936" cy="759791"/>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Log</a:t>
          </a:r>
          <a:r>
            <a:rPr lang="en-CA" sz="1600" b="1" kern="1200" cap="none" spc="50" baseline="0">
              <a:ln w="0"/>
              <a:solidFill>
                <a:schemeClr val="bg1"/>
              </a:solidFill>
              <a:effectLst>
                <a:innerShdw blurRad="63500" dist="50800" dir="13500000">
                  <a:srgbClr val="000000">
                    <a:alpha val="50000"/>
                  </a:srgbClr>
                </a:innerShdw>
              </a:effectLst>
            </a:rPr>
            <a:t> Investment</a:t>
          </a:r>
          <a:endParaRPr lang="en-CA" sz="1600" b="1" kern="1200" cap="none" spc="50">
            <a:ln w="0"/>
            <a:solidFill>
              <a:schemeClr val="bg1"/>
            </a:solidFill>
            <a:effectLst>
              <a:innerShdw blurRad="63500" dist="50800" dir="13500000">
                <a:srgbClr val="000000">
                  <a:alpha val="50000"/>
                </a:srgbClr>
              </a:innerShdw>
            </a:effectLst>
          </a:endParaRPr>
        </a:p>
      </xdr:txBody>
    </xdr:sp>
    <xdr:clientData/>
  </xdr:twoCellAnchor>
  <xdr:oneCellAnchor>
    <xdr:from>
      <xdr:col>15</xdr:col>
      <xdr:colOff>195942</xdr:colOff>
      <xdr:row>4</xdr:row>
      <xdr:rowOff>0</xdr:rowOff>
    </xdr:from>
    <xdr:ext cx="184731" cy="264560"/>
    <xdr:sp macro="" textlink="">
      <xdr:nvSpPr>
        <xdr:cNvPr id="3" name="TextBox 2">
          <a:extLst>
            <a:ext uri="{FF2B5EF4-FFF2-40B4-BE49-F238E27FC236}">
              <a16:creationId xmlns:a16="http://schemas.microsoft.com/office/drawing/2014/main" id="{5AA68471-7E7D-DAE6-6570-0ED72D851B47}"/>
            </a:ext>
          </a:extLst>
        </xdr:cNvPr>
        <xdr:cNvSpPr txBox="1"/>
      </xdr:nvSpPr>
      <xdr:spPr>
        <a:xfrm>
          <a:off x="15871371" y="128451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CA" sz="1100" kern="1200"/>
        </a:p>
      </xdr:txBody>
    </xdr:sp>
    <xdr:clientData/>
  </xdr:oneCellAnchor>
  <xdr:twoCellAnchor>
    <xdr:from>
      <xdr:col>1</xdr:col>
      <xdr:colOff>160252</xdr:colOff>
      <xdr:row>11</xdr:row>
      <xdr:rowOff>69926</xdr:rowOff>
    </xdr:from>
    <xdr:to>
      <xdr:col>2</xdr:col>
      <xdr:colOff>702733</xdr:colOff>
      <xdr:row>16</xdr:row>
      <xdr:rowOff>59266</xdr:rowOff>
    </xdr:to>
    <xdr:sp macro="[0]!ShowInvestmentVariablesForm" textlink="">
      <xdr:nvSpPr>
        <xdr:cNvPr id="5" name="Rectangle 4">
          <a:extLst>
            <a:ext uri="{FF2B5EF4-FFF2-40B4-BE49-F238E27FC236}">
              <a16:creationId xmlns:a16="http://schemas.microsoft.com/office/drawing/2014/main" id="{B9C61FA7-D672-479E-B8AF-BDBC3285D924}"/>
            </a:ext>
          </a:extLst>
        </xdr:cNvPr>
        <xdr:cNvSpPr/>
      </xdr:nvSpPr>
      <xdr:spPr>
        <a:xfrm>
          <a:off x="769852" y="3128086"/>
          <a:ext cx="2422081" cy="903740"/>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Log</a:t>
          </a:r>
          <a:r>
            <a:rPr lang="en-CA" sz="1600" b="1" kern="1200" cap="none" spc="50" baseline="0">
              <a:ln w="0"/>
              <a:solidFill>
                <a:schemeClr val="bg1"/>
              </a:solidFill>
              <a:effectLst>
                <a:innerShdw blurRad="63500" dist="50800" dir="13500000">
                  <a:srgbClr val="000000">
                    <a:alpha val="50000"/>
                  </a:srgbClr>
                </a:innerShdw>
              </a:effectLst>
            </a:rPr>
            <a:t> Asset Type / Investment Account / Sector &amp; Industry</a:t>
          </a:r>
          <a:endParaRPr lang="en-CA" sz="1600" b="1" kern="1200" cap="none" spc="50">
            <a:ln w="0"/>
            <a:solidFill>
              <a:schemeClr val="bg1"/>
            </a:solidFill>
            <a:effectLst>
              <a:innerShdw blurRad="63500" dist="50800" dir="13500000">
                <a:srgbClr val="000000">
                  <a:alpha val="50000"/>
                </a:srgbClr>
              </a:innerShdw>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236220</xdr:colOff>
      <xdr:row>1</xdr:row>
      <xdr:rowOff>106680</xdr:rowOff>
    </xdr:from>
    <xdr:to>
      <xdr:col>4</xdr:col>
      <xdr:colOff>555256</xdr:colOff>
      <xdr:row>4</xdr:row>
      <xdr:rowOff>62182</xdr:rowOff>
    </xdr:to>
    <xdr:sp macro="[0]!OutputSheetDateForm" textlink="">
      <xdr:nvSpPr>
        <xdr:cNvPr id="3" name="Rectangle 2">
          <a:extLst>
            <a:ext uri="{FF2B5EF4-FFF2-40B4-BE49-F238E27FC236}">
              <a16:creationId xmlns:a16="http://schemas.microsoft.com/office/drawing/2014/main" id="{315BE40D-8697-457D-BDA8-B50843CAC4BC}"/>
            </a:ext>
          </a:extLst>
        </xdr:cNvPr>
        <xdr:cNvSpPr/>
      </xdr:nvSpPr>
      <xdr:spPr>
        <a:xfrm>
          <a:off x="1089660" y="586740"/>
          <a:ext cx="2147836" cy="534622"/>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Enter Date</a:t>
          </a:r>
        </a:p>
      </xdr:txBody>
    </xdr:sp>
    <xdr:clientData/>
  </xdr:twoCellAnchor>
  <xdr:twoCellAnchor>
    <xdr:from>
      <xdr:col>1</xdr:col>
      <xdr:colOff>236220</xdr:colOff>
      <xdr:row>5</xdr:row>
      <xdr:rowOff>7620</xdr:rowOff>
    </xdr:from>
    <xdr:to>
      <xdr:col>4</xdr:col>
      <xdr:colOff>555256</xdr:colOff>
      <xdr:row>7</xdr:row>
      <xdr:rowOff>176482</xdr:rowOff>
    </xdr:to>
    <xdr:sp macro="[0]!ClearOutputDataSheet" textlink="">
      <xdr:nvSpPr>
        <xdr:cNvPr id="4" name="Rectangle 3">
          <a:extLst>
            <a:ext uri="{FF2B5EF4-FFF2-40B4-BE49-F238E27FC236}">
              <a16:creationId xmlns:a16="http://schemas.microsoft.com/office/drawing/2014/main" id="{4E249867-14AF-4C12-8628-656D2287E649}"/>
            </a:ext>
          </a:extLst>
        </xdr:cNvPr>
        <xdr:cNvSpPr/>
      </xdr:nvSpPr>
      <xdr:spPr>
        <a:xfrm>
          <a:off x="1089660" y="1280160"/>
          <a:ext cx="2147836" cy="534622"/>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baseline="0">
              <a:ln w="0"/>
              <a:solidFill>
                <a:schemeClr val="bg1"/>
              </a:solidFill>
              <a:effectLst>
                <a:innerShdw blurRad="63500" dist="50800" dir="13500000">
                  <a:srgbClr val="000000">
                    <a:alpha val="50000"/>
                  </a:srgbClr>
                </a:innerShdw>
              </a:effectLst>
            </a:rPr>
            <a:t>Clear  </a:t>
          </a:r>
          <a:endParaRPr lang="en-CA" sz="1600" b="1" kern="1200" cap="none" spc="50">
            <a:ln w="0"/>
            <a:solidFill>
              <a:schemeClr val="bg1"/>
            </a:solidFill>
            <a:effectLst>
              <a:innerShdw blurRad="63500" dist="50800" dir="13500000">
                <a:srgbClr val="000000">
                  <a:alpha val="50000"/>
                </a:srgbClr>
              </a:innerShdw>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1035313</xdr:colOff>
      <xdr:row>3</xdr:row>
      <xdr:rowOff>37170</xdr:rowOff>
    </xdr:from>
    <xdr:to>
      <xdr:col>10</xdr:col>
      <xdr:colOff>446048</xdr:colOff>
      <xdr:row>6</xdr:row>
      <xdr:rowOff>153073</xdr:rowOff>
    </xdr:to>
    <xdr:sp macro="[0]!ShowGoalForm" textlink="">
      <xdr:nvSpPr>
        <xdr:cNvPr id="2" name="Rectangle 1">
          <a:extLst>
            <a:ext uri="{FF2B5EF4-FFF2-40B4-BE49-F238E27FC236}">
              <a16:creationId xmlns:a16="http://schemas.microsoft.com/office/drawing/2014/main" id="{29BC90FE-4CB4-4121-A33F-C40E3E3108D2}"/>
            </a:ext>
          </a:extLst>
        </xdr:cNvPr>
        <xdr:cNvSpPr/>
      </xdr:nvSpPr>
      <xdr:spPr>
        <a:xfrm>
          <a:off x="9538118" y="1217341"/>
          <a:ext cx="2272881" cy="673464"/>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Log</a:t>
          </a:r>
          <a:r>
            <a:rPr lang="en-CA" sz="1600" b="1" kern="1200" cap="none" spc="50" baseline="0">
              <a:ln w="0"/>
              <a:solidFill>
                <a:schemeClr val="bg1"/>
              </a:solidFill>
              <a:effectLst>
                <a:innerShdw blurRad="63500" dist="50800" dir="13500000">
                  <a:srgbClr val="000000">
                    <a:alpha val="50000"/>
                  </a:srgbClr>
                </a:innerShdw>
              </a:effectLst>
            </a:rPr>
            <a:t> Goal</a:t>
          </a:r>
          <a:endParaRPr lang="en-CA" sz="1600" b="1" kern="1200" cap="none" spc="50">
            <a:ln w="0"/>
            <a:solidFill>
              <a:schemeClr val="bg1"/>
            </a:solidFill>
            <a:effectLst>
              <a:innerShdw blurRad="63500" dist="50800" dir="13500000">
                <a:srgbClr val="000000">
                  <a:alpha val="50000"/>
                </a:srgbClr>
              </a:innerShdw>
            </a:effectLst>
          </a:endParaRPr>
        </a:p>
      </xdr:txBody>
    </xdr:sp>
    <xdr:clientData/>
  </xdr:twoCellAnchor>
  <xdr:twoCellAnchor>
    <xdr:from>
      <xdr:col>7</xdr:col>
      <xdr:colOff>1022195</xdr:colOff>
      <xdr:row>7</xdr:row>
      <xdr:rowOff>176561</xdr:rowOff>
    </xdr:from>
    <xdr:to>
      <xdr:col>10</xdr:col>
      <xdr:colOff>427463</xdr:colOff>
      <xdr:row>11</xdr:row>
      <xdr:rowOff>92927</xdr:rowOff>
    </xdr:to>
    <xdr:sp macro="[0]!ShowUpdateForm" textlink="">
      <xdr:nvSpPr>
        <xdr:cNvPr id="5" name="Rectangle 4">
          <a:extLst>
            <a:ext uri="{FF2B5EF4-FFF2-40B4-BE49-F238E27FC236}">
              <a16:creationId xmlns:a16="http://schemas.microsoft.com/office/drawing/2014/main" id="{CDD63250-19CE-433A-96F4-D5FBC6AA9C67}"/>
            </a:ext>
          </a:extLst>
        </xdr:cNvPr>
        <xdr:cNvSpPr/>
      </xdr:nvSpPr>
      <xdr:spPr>
        <a:xfrm>
          <a:off x="9525000" y="2100146"/>
          <a:ext cx="2267414" cy="659781"/>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Update </a:t>
          </a:r>
          <a:r>
            <a:rPr lang="en-CA" sz="1600" b="1" kern="1200" cap="none" spc="50" baseline="0">
              <a:ln w="0"/>
              <a:solidFill>
                <a:schemeClr val="bg1"/>
              </a:solidFill>
              <a:effectLst>
                <a:innerShdw blurRad="63500" dist="50800" dir="13500000">
                  <a:srgbClr val="000000">
                    <a:alpha val="50000"/>
                  </a:srgbClr>
                </a:innerShdw>
              </a:effectLst>
            </a:rPr>
            <a:t>Existing Goal</a:t>
          </a:r>
          <a:endParaRPr lang="en-CA" sz="1600" b="1" kern="1200" cap="none" spc="50">
            <a:ln w="0"/>
            <a:solidFill>
              <a:schemeClr val="bg1"/>
            </a:solidFill>
            <a:effectLst>
              <a:innerShdw blurRad="63500" dist="50800" dir="13500000">
                <a:srgbClr val="000000">
                  <a:alpha val="50000"/>
                </a:srgbClr>
              </a:innerShdw>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127612</xdr:colOff>
      <xdr:row>15</xdr:row>
      <xdr:rowOff>100988</xdr:rowOff>
    </xdr:from>
    <xdr:to>
      <xdr:col>6</xdr:col>
      <xdr:colOff>436222</xdr:colOff>
      <xdr:row>19</xdr:row>
      <xdr:rowOff>42381</xdr:rowOff>
    </xdr:to>
    <xdr:sp macro="[0]!MergeTables" textlink="">
      <xdr:nvSpPr>
        <xdr:cNvPr id="2" name="Rectangle 1">
          <a:extLst>
            <a:ext uri="{FF2B5EF4-FFF2-40B4-BE49-F238E27FC236}">
              <a16:creationId xmlns:a16="http://schemas.microsoft.com/office/drawing/2014/main" id="{B4EC0C65-542D-44F2-B348-BFF2CB1CD1B8}"/>
            </a:ext>
          </a:extLst>
        </xdr:cNvPr>
        <xdr:cNvSpPr/>
      </xdr:nvSpPr>
      <xdr:spPr>
        <a:xfrm>
          <a:off x="4506817" y="3158169"/>
          <a:ext cx="2934297" cy="675851"/>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400" b="1" kern="1200" cap="none" spc="50">
              <a:ln w="0"/>
              <a:solidFill>
                <a:schemeClr val="bg1"/>
              </a:solidFill>
              <a:effectLst>
                <a:innerShdw blurRad="63500" dist="50800" dir="13500000">
                  <a:srgbClr val="000000">
                    <a:alpha val="50000"/>
                  </a:srgbClr>
                </a:innerShdw>
              </a:effectLst>
            </a:rPr>
            <a:t>Update</a:t>
          </a:r>
          <a:r>
            <a:rPr lang="en-CA" sz="1400" b="1" kern="1200" cap="none" spc="50" baseline="0">
              <a:ln w="0"/>
              <a:solidFill>
                <a:schemeClr val="bg1"/>
              </a:solidFill>
              <a:effectLst>
                <a:innerShdw blurRad="63500" dist="50800" dir="13500000">
                  <a:srgbClr val="000000">
                    <a:alpha val="50000"/>
                  </a:srgbClr>
                </a:innerShdw>
              </a:effectLst>
            </a:rPr>
            <a:t> Combined Income &amp; Expenses</a:t>
          </a:r>
          <a:endParaRPr lang="en-CA" sz="1400" b="1" kern="1200" cap="none" spc="50">
            <a:ln w="0"/>
            <a:solidFill>
              <a:schemeClr val="bg1"/>
            </a:solidFill>
            <a:effectLst>
              <a:innerShdw blurRad="63500" dist="50800" dir="13500000">
                <a:srgbClr val="000000">
                  <a:alpha val="50000"/>
                </a:srgbClr>
              </a:innerShdw>
            </a:effectLst>
          </a:endParaRPr>
        </a:p>
      </xdr:txBody>
    </xdr:sp>
    <xdr:clientData/>
  </xdr:twoCellAnchor>
  <xdr:twoCellAnchor>
    <xdr:from>
      <xdr:col>6</xdr:col>
      <xdr:colOff>514464</xdr:colOff>
      <xdr:row>15</xdr:row>
      <xdr:rowOff>92036</xdr:rowOff>
    </xdr:from>
    <xdr:to>
      <xdr:col>9</xdr:col>
      <xdr:colOff>1392280</xdr:colOff>
      <xdr:row>19</xdr:row>
      <xdr:rowOff>33429</xdr:rowOff>
    </xdr:to>
    <xdr:sp macro="[0]!RefreshPivotTables" textlink="">
      <xdr:nvSpPr>
        <xdr:cNvPr id="4" name="Rectangle 3">
          <a:extLst>
            <a:ext uri="{FF2B5EF4-FFF2-40B4-BE49-F238E27FC236}">
              <a16:creationId xmlns:a16="http://schemas.microsoft.com/office/drawing/2014/main" id="{54A7A506-0B55-416E-98B5-28B56BBC30F1}"/>
            </a:ext>
          </a:extLst>
        </xdr:cNvPr>
        <xdr:cNvSpPr/>
      </xdr:nvSpPr>
      <xdr:spPr>
        <a:xfrm>
          <a:off x="7519356" y="3149217"/>
          <a:ext cx="2934297" cy="675851"/>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400" b="1" kern="1200" cap="none" spc="50">
              <a:ln w="0"/>
              <a:solidFill>
                <a:schemeClr val="bg1"/>
              </a:solidFill>
              <a:effectLst>
                <a:innerShdw blurRad="63500" dist="50800" dir="13500000">
                  <a:srgbClr val="000000">
                    <a:alpha val="50000"/>
                  </a:srgbClr>
                </a:innerShdw>
              </a:effectLst>
            </a:rPr>
            <a:t>Update</a:t>
          </a:r>
          <a:r>
            <a:rPr lang="en-CA" sz="1400" b="1" kern="1200" cap="none" spc="50" baseline="0">
              <a:ln w="0"/>
              <a:solidFill>
                <a:schemeClr val="bg1"/>
              </a:solidFill>
              <a:effectLst>
                <a:innerShdw blurRad="63500" dist="50800" dir="13500000">
                  <a:srgbClr val="000000">
                    <a:alpha val="50000"/>
                  </a:srgbClr>
                </a:innerShdw>
              </a:effectLst>
            </a:rPr>
            <a:t> Pivot Tables</a:t>
          </a:r>
          <a:endParaRPr lang="en-CA" sz="1400" b="1" kern="1200" cap="none" spc="50">
            <a:ln w="0"/>
            <a:solidFill>
              <a:schemeClr val="bg1"/>
            </a:solidFill>
            <a:effectLst>
              <a:innerShdw blurRad="63500" dist="50800" dir="13500000">
                <a:srgbClr val="000000">
                  <a:alpha val="50000"/>
                </a:srgbClr>
              </a:inn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581025</xdr:colOff>
      <xdr:row>3</xdr:row>
      <xdr:rowOff>139065</xdr:rowOff>
    </xdr:from>
    <xdr:to>
      <xdr:col>8</xdr:col>
      <xdr:colOff>200025</xdr:colOff>
      <xdr:row>6</xdr:row>
      <xdr:rowOff>123825</xdr:rowOff>
    </xdr:to>
    <xdr:sp macro="[0]!ShowAdviceForm" textlink="">
      <xdr:nvSpPr>
        <xdr:cNvPr id="4" name="Rectangle 3">
          <a:extLst>
            <a:ext uri="{FF2B5EF4-FFF2-40B4-BE49-F238E27FC236}">
              <a16:creationId xmlns:a16="http://schemas.microsoft.com/office/drawing/2014/main" id="{7D0F3EBA-0C12-43F6-BF7A-B1AE4E081E33}"/>
            </a:ext>
          </a:extLst>
        </xdr:cNvPr>
        <xdr:cNvSpPr/>
      </xdr:nvSpPr>
      <xdr:spPr>
        <a:xfrm>
          <a:off x="2409825" y="1291590"/>
          <a:ext cx="2667000" cy="527685"/>
        </a:xfrm>
        <a:prstGeom prst="rect">
          <a:avLst/>
        </a:prstGeom>
        <a:solidFill>
          <a:srgbClr val="003C66"/>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CA" sz="1600" b="1" kern="1200" cap="none" spc="50">
              <a:ln w="0"/>
              <a:solidFill>
                <a:schemeClr val="bg1"/>
              </a:solidFill>
              <a:effectLst>
                <a:innerShdw blurRad="63500" dist="50800" dir="13500000">
                  <a:srgbClr val="000000">
                    <a:alpha val="50000"/>
                  </a:srgbClr>
                </a:innerShdw>
              </a:effectLst>
            </a:rPr>
            <a:t>Advice Form</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richPivotRecords" Target="richPivotRecords1.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ncy Zhou" refreshedDate="45623.716333449076" createdVersion="8" refreshedVersion="8" minRefreshableVersion="3" recordCount="14" xr:uid="{E4B22D5E-C78D-4ADB-A106-7A848F1AF3E5}">
  <cacheSource type="worksheet">
    <worksheetSource name="Table4"/>
  </cacheSource>
  <cacheFields count="8">
    <cacheField name="Date" numFmtId="14">
      <sharedItems containsSemiMixedTypes="0" containsNonDate="0" containsDate="1" containsString="0" minDate="2020-09-09T00:00:00" maxDate="2024-11-21T00:00:00" count="12">
        <d v="2020-09-09T00:00:00"/>
        <d v="2023-01-04T00:00:00"/>
        <d v="2023-01-05T00:00:00"/>
        <d v="2023-02-06T00:00:00"/>
        <d v="2023-03-07T00:00:00"/>
        <d v="2023-03-08T00:00:00"/>
        <d v="2023-04-09T00:00:00"/>
        <d v="2023-04-10T00:00:00"/>
        <d v="2023-05-11T00:00:00"/>
        <d v="2023-05-12T00:00:00"/>
        <d v="2024-11-20T00:00:00"/>
        <d v="2024-11-11T00:00:00"/>
      </sharedItems>
      <fieldGroup par="7"/>
    </cacheField>
    <cacheField name="Account Deposited" numFmtId="0">
      <sharedItems count="4">
        <s v="Walmart Mastercard "/>
        <s v="Savings"/>
        <s v="Checking"/>
        <s v="CIBC Credit Card"/>
      </sharedItems>
    </cacheField>
    <cacheField name="Income Amount ($)" numFmtId="44">
      <sharedItems containsSemiMixedTypes="0" containsString="0" containsNumber="1" containsInteger="1" minValue="10" maxValue="500"/>
    </cacheField>
    <cacheField name="Category" numFmtId="0">
      <sharedItems count="3">
        <s v="Paycheck"/>
        <s v="Investment"/>
        <s v="Payment"/>
      </sharedItems>
    </cacheField>
    <cacheField name="Source" numFmtId="0">
      <sharedItems count="6">
        <s v="No Frills "/>
        <s v="Mom"/>
        <s v="TSLA"/>
        <s v="Mathnasium"/>
        <s v="AAPL"/>
        <s v="Checking"/>
      </sharedItems>
    </cacheField>
    <cacheField name="Months (Date)" numFmtId="0" databaseField="0">
      <fieldGroup base="0">
        <rangePr groupBy="months" startDate="2020-09-09T00:00:00" endDate="2024-11-21T00:00:00"/>
        <groupItems count="14">
          <s v="&lt;2020-09-09"/>
          <s v="Jan"/>
          <s v="Feb"/>
          <s v="Mar"/>
          <s v="Apr"/>
          <s v="May"/>
          <s v="Jun"/>
          <s v="Jul"/>
          <s v="Aug"/>
          <s v="Sep"/>
          <s v="Oct"/>
          <s v="Nov"/>
          <s v="Dec"/>
          <s v="&gt;2024-11-21"/>
        </groupItems>
      </fieldGroup>
    </cacheField>
    <cacheField name="Quarters (Date)" numFmtId="0" databaseField="0">
      <fieldGroup base="0">
        <rangePr groupBy="quarters" startDate="2020-09-09T00:00:00" endDate="2024-11-21T00:00:00"/>
        <groupItems count="6">
          <s v="&lt;2020-09-09"/>
          <s v="Qtr1"/>
          <s v="Qtr2"/>
          <s v="Qtr3"/>
          <s v="Qtr4"/>
          <s v="&gt;2024-11-21"/>
        </groupItems>
      </fieldGroup>
    </cacheField>
    <cacheField name="Years (Date)" numFmtId="0" databaseField="0">
      <fieldGroup base="0">
        <rangePr groupBy="years" startDate="2020-09-09T00:00:00" endDate="2024-11-21T00:00:00"/>
        <groupItems count="7">
          <s v="&lt;2020-09-09"/>
          <s v="2020"/>
          <s v="2021"/>
          <s v="2022"/>
          <s v="2023"/>
          <s v="2024"/>
          <s v="&gt;2024-11-21"/>
        </groupItems>
      </fieldGroup>
    </cacheField>
  </cacheFields>
  <extLst>
    <ext xmlns:x14="http://schemas.microsoft.com/office/spreadsheetml/2009/9/main" uri="{725AE2AE-9491-48be-B2B4-4EB974FC3084}">
      <x14:pivotCacheDefinition pivotCacheId="87153250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ncy Zhou" refreshedDate="45623.716333912038" createdVersion="8" refreshedVersion="8" minRefreshableVersion="3" recordCount="28" xr:uid="{E1907F0C-D4EE-4ED3-B067-C1486DAB60C9}">
  <cacheSource type="worksheet">
    <worksheetSource name="CombinedTable"/>
  </cacheSource>
  <cacheFields count="7">
    <cacheField name="Date" numFmtId="14">
      <sharedItems containsSemiMixedTypes="0" containsNonDate="0" containsDate="1" containsString="0" minDate="2008-09-09T00:00:00" maxDate="2024-11-24T00:00:00" count="22">
        <d v="2020-09-09T00:00:00"/>
        <d v="2023-01-04T00:00:00"/>
        <d v="2023-01-05T00:00:00"/>
        <d v="2023-02-06T00:00:00"/>
        <d v="2023-03-07T00:00:00"/>
        <d v="2023-03-08T00:00:00"/>
        <d v="2023-04-09T00:00:00"/>
        <d v="2023-04-10T00:00:00"/>
        <d v="2023-05-11T00:00:00"/>
        <d v="2023-05-12T00:00:00"/>
        <d v="2024-11-20T00:00:00"/>
        <d v="2024-11-11T00:00:00"/>
        <d v="2008-09-09T00:00:00"/>
        <d v="2024-09-21T00:00:00"/>
        <d v="2024-09-20T00:00:00"/>
        <d v="2024-10-08T00:00:00"/>
        <d v="2024-10-10T00:00:00"/>
        <d v="2024-10-09T00:00:00"/>
        <d v="2024-10-11T00:00:00"/>
        <d v="2024-10-12T00:00:00"/>
        <d v="2024-11-23T00:00:00"/>
        <d v="2024-09-09T00:00:00"/>
      </sharedItems>
      <fieldGroup par="6"/>
    </cacheField>
    <cacheField name="Account" numFmtId="0">
      <sharedItems count="4">
        <s v="Walmart Mastercard "/>
        <s v="Savings"/>
        <s v="Checking"/>
        <s v="CIBC Credit Card"/>
      </sharedItems>
    </cacheField>
    <cacheField name="Amount" numFmtId="7">
      <sharedItems containsSemiMixedTypes="0" containsString="0" containsNumber="1" containsInteger="1" minValue="10" maxValue="500"/>
    </cacheField>
    <cacheField name="Type" numFmtId="0">
      <sharedItems count="2">
        <s v="Income"/>
        <s v="Expense"/>
      </sharedItems>
    </cacheField>
    <cacheField name="Months (Date)" numFmtId="0" databaseField="0">
      <fieldGroup base="0">
        <rangePr groupBy="months" startDate="2008-09-09T00:00:00" endDate="2024-11-24T00:00:00"/>
        <groupItems count="14">
          <s v="&lt;2008-09-09"/>
          <s v="Jan"/>
          <s v="Feb"/>
          <s v="Mar"/>
          <s v="Apr"/>
          <s v="May"/>
          <s v="Jun"/>
          <s v="Jul"/>
          <s v="Aug"/>
          <s v="Sep"/>
          <s v="Oct"/>
          <s v="Nov"/>
          <s v="Dec"/>
          <s v="&gt;2024-11-24"/>
        </groupItems>
      </fieldGroup>
    </cacheField>
    <cacheField name="Quarters (Date)" numFmtId="0" databaseField="0">
      <fieldGroup base="0">
        <rangePr groupBy="quarters" startDate="2008-09-09T00:00:00" endDate="2024-11-24T00:00:00"/>
        <groupItems count="6">
          <s v="&lt;2008-09-09"/>
          <s v="Qtr1"/>
          <s v="Qtr2"/>
          <s v="Qtr3"/>
          <s v="Qtr4"/>
          <s v="&gt;2024-11-24"/>
        </groupItems>
      </fieldGroup>
    </cacheField>
    <cacheField name="Years (Date)" numFmtId="0" databaseField="0">
      <fieldGroup base="0">
        <rangePr groupBy="years" startDate="2008-09-09T00:00:00" endDate="2024-11-24T00:00:00"/>
        <groupItems count="19">
          <s v="&lt;2008-09-09"/>
          <s v="2008"/>
          <s v="2009"/>
          <s v="2010"/>
          <s v="2011"/>
          <s v="2012"/>
          <s v="2013"/>
          <s v="2014"/>
          <s v="2015"/>
          <s v="2016"/>
          <s v="2017"/>
          <s v="2018"/>
          <s v="2019"/>
          <s v="2020"/>
          <s v="2021"/>
          <s v="2022"/>
          <s v="2023"/>
          <s v="2024"/>
          <s v="&gt;2024-11-24"/>
        </groupItems>
      </fieldGroup>
    </cacheField>
  </cacheFields>
  <extLst>
    <ext xmlns:x14="http://schemas.microsoft.com/office/spreadsheetml/2009/9/main" uri="{725AE2AE-9491-48be-B2B4-4EB974FC3084}">
      <x14:pivotCacheDefinition pivotCacheId="159848181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ncy Zhou" refreshedDate="45623.716335069446" createdVersion="8" refreshedVersion="8" minRefreshableVersion="3" recordCount="14" xr:uid="{C95A94D4-7094-4CCC-98F4-007063CF6514}">
  <cacheSource type="worksheet">
    <worksheetSource name="Table5"/>
  </cacheSource>
  <cacheFields count="7">
    <cacheField name="Account Used" numFmtId="0">
      <sharedItems count="4">
        <s v="Savings"/>
        <s v="Walmart Mastercard "/>
        <s v="Checking"/>
        <s v="CIBC Credit Card"/>
      </sharedItems>
    </cacheField>
    <cacheField name="Date" numFmtId="14">
      <sharedItems containsSemiMixedTypes="0" containsNonDate="0" containsDate="1" containsString="0" minDate="2008-09-09T00:00:00" maxDate="2024-11-24T00:00:00" count="10">
        <d v="2008-09-09T00:00:00"/>
        <d v="2024-09-21T00:00:00"/>
        <d v="2024-09-20T00:00:00"/>
        <d v="2024-10-08T00:00:00"/>
        <d v="2024-10-10T00:00:00"/>
        <d v="2024-10-09T00:00:00"/>
        <d v="2024-10-11T00:00:00"/>
        <d v="2024-10-12T00:00:00"/>
        <d v="2024-11-23T00:00:00"/>
        <d v="2024-09-09T00:00:00"/>
      </sharedItems>
      <fieldGroup par="6"/>
    </cacheField>
    <cacheField name="Amount Spent ($)" numFmtId="44">
      <sharedItems containsSemiMixedTypes="0" containsString="0" containsNumber="1" containsInteger="1" minValue="10" maxValue="100"/>
    </cacheField>
    <cacheField name="Category " numFmtId="0">
      <sharedItems count="3">
        <s v="School"/>
        <s v="Groceries"/>
        <s v="Shopping"/>
      </sharedItems>
    </cacheField>
    <cacheField name="Months (Date)" numFmtId="0" databaseField="0">
      <fieldGroup base="1">
        <rangePr groupBy="months" startDate="2008-09-09T00:00:00" endDate="2024-11-24T00:00:00"/>
        <groupItems count="14">
          <s v="&lt;2008-09-09"/>
          <s v="Jan"/>
          <s v="Feb"/>
          <s v="Mar"/>
          <s v="Apr"/>
          <s v="May"/>
          <s v="Jun"/>
          <s v="Jul"/>
          <s v="Aug"/>
          <s v="Sep"/>
          <s v="Oct"/>
          <s v="Nov"/>
          <s v="Dec"/>
          <s v="&gt;2024-11-24"/>
        </groupItems>
      </fieldGroup>
    </cacheField>
    <cacheField name="Quarters (Date)" numFmtId="0" databaseField="0">
      <fieldGroup base="1">
        <rangePr groupBy="quarters" startDate="2008-09-09T00:00:00" endDate="2024-11-24T00:00:00"/>
        <groupItems count="6">
          <s v="&lt;2008-09-09"/>
          <s v="Qtr1"/>
          <s v="Qtr2"/>
          <s v="Qtr3"/>
          <s v="Qtr4"/>
          <s v="&gt;2024-11-24"/>
        </groupItems>
      </fieldGroup>
    </cacheField>
    <cacheField name="Years (Date)" numFmtId="0" databaseField="0">
      <fieldGroup base="1">
        <rangePr groupBy="years" startDate="2008-09-09T00:00:00" endDate="2024-11-24T00:00:00"/>
        <groupItems count="19">
          <s v="&lt;2008-09-09"/>
          <s v="2008"/>
          <s v="2009"/>
          <s v="2010"/>
          <s v="2011"/>
          <s v="2012"/>
          <s v="2013"/>
          <s v="2014"/>
          <s v="2015"/>
          <s v="2016"/>
          <s v="2017"/>
          <s v="2018"/>
          <s v="2019"/>
          <s v="2020"/>
          <s v="2021"/>
          <s v="2022"/>
          <s v="2023"/>
          <s v="2024"/>
          <s v="&gt;2024-11-24"/>
        </groupItems>
      </fieldGroup>
    </cacheField>
  </cacheFields>
  <extLst>
    <ext xmlns:x14="http://schemas.microsoft.com/office/spreadsheetml/2009/9/main" uri="{725AE2AE-9491-48be-B2B4-4EB974FC3084}">
      <x14:pivotCacheDefinition pivotCacheId="20933040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Nancy Zhou" refreshedDate="45623.71633541667" createdVersion="8" refreshedVersion="8" minRefreshableVersion="3" recordCount="5" xr:uid="{AFE39529-732E-4B67-885E-25BA3A3BBFCE}">
  <cacheSource type="worksheet">
    <worksheetSource name="Table8"/>
  </cacheSource>
  <cacheFields count="15">
    <cacheField name="Investment Name" numFmtId="0">
      <sharedItems count="5">
        <s v="AAPL"/>
        <s v="TSLA"/>
        <s v="RBC GIC"/>
        <s v="CIBC GIC"/>
        <s v="DIS"/>
      </sharedItems>
    </cacheField>
    <cacheField name="Asset Type" numFmtId="0">
      <sharedItems count="3">
        <s v="Stock"/>
        <s v="Bonds"/>
        <s v="GIC"/>
      </sharedItems>
    </cacheField>
    <cacheField name="Purchase Date" numFmtId="14">
      <sharedItems containsSemiMixedTypes="0" containsNonDate="0" containsDate="1" containsString="0" minDate="2021-07-08T00:00:00" maxDate="2024-11-10T00:00:00" count="3">
        <d v="2024-09-09T00:00:00"/>
        <d v="2021-07-08T00:00:00"/>
        <d v="2024-11-09T00:00:00"/>
      </sharedItems>
      <fieldGroup par="14"/>
    </cacheField>
    <cacheField name="Number of Units" numFmtId="0">
      <sharedItems containsSemiMixedTypes="0" containsString="0" containsNumber="1" containsInteger="1" minValue="1" maxValue="6"/>
    </cacheField>
    <cacheField name="Purchase Price" numFmtId="44">
      <sharedItems containsSemiMixedTypes="0" containsString="0" containsNumber="1" containsInteger="1" minValue="50" maxValue="1000"/>
    </cacheField>
    <cacheField name="Total Cost" numFmtId="44">
      <sharedItems containsSemiMixedTypes="0" containsString="0" containsNumber="1" containsInteger="1" minValue="100" maxValue="1000"/>
    </cacheField>
    <cacheField name="Current Market Price" numFmtId="164">
      <sharedItems containsSemiMixedTypes="0" containsString="0" containsNumber="1" minValue="65.540000000000006" maxValue="360.14"/>
    </cacheField>
    <cacheField name="Current Value of Investment" numFmtId="0">
      <sharedItems containsSemiMixedTypes="0" containsString="0" containsNumber="1" minValue="65.540000000000006" maxValue="2160.84"/>
    </cacheField>
    <cacheField name="Risk Level" numFmtId="0">
      <sharedItems containsSemiMixedTypes="0" containsString="0" containsNumber="1" containsInteger="1" minValue="1" maxValue="8" count="5">
        <n v="4"/>
        <n v="8"/>
        <n v="2"/>
        <n v="1"/>
        <n v="5"/>
      </sharedItems>
    </cacheField>
    <cacheField name="Investment Account" numFmtId="0">
      <sharedItems count="2">
        <s v="TFSA"/>
        <s v="Mom TD Account"/>
      </sharedItems>
    </cacheField>
    <cacheField name="Sector / Industry" numFmtId="0">
      <sharedItems count="2">
        <s v="Tech"/>
        <s v="Entertainment"/>
      </sharedItems>
    </cacheField>
    <cacheField name="ROI" numFmtId="9">
      <sharedItems containsSemiMixedTypes="0" containsString="0" containsNumber="1" minValue="-0.93446000000000007" maxValue="3.6292"/>
    </cacheField>
    <cacheField name="Months (Purchase Date)" numFmtId="0" databaseField="0">
      <fieldGroup base="2">
        <rangePr groupBy="months" startDate="2021-07-08T00:00:00" endDate="2024-11-10T00:00:00"/>
        <groupItems count="14">
          <s v="&lt;2021-07-08"/>
          <s v="Jan"/>
          <s v="Feb"/>
          <s v="Mar"/>
          <s v="Apr"/>
          <s v="May"/>
          <s v="Jun"/>
          <s v="Jul"/>
          <s v="Aug"/>
          <s v="Sep"/>
          <s v="Oct"/>
          <s v="Nov"/>
          <s v="Dec"/>
          <s v="&gt;2024-11-10"/>
        </groupItems>
      </fieldGroup>
    </cacheField>
    <cacheField name="Quarters (Purchase Date)" numFmtId="0" databaseField="0">
      <fieldGroup base="2">
        <rangePr groupBy="quarters" startDate="2021-07-08T00:00:00" endDate="2024-11-10T00:00:00"/>
        <groupItems count="6">
          <s v="&lt;2021-07-08"/>
          <s v="Qtr1"/>
          <s v="Qtr2"/>
          <s v="Qtr3"/>
          <s v="Qtr4"/>
          <s v="&gt;2024-11-10"/>
        </groupItems>
      </fieldGroup>
    </cacheField>
    <cacheField name="Years (Purchase Date)" numFmtId="0" databaseField="0">
      <fieldGroup base="2">
        <rangePr groupBy="years" startDate="2021-07-08T00:00:00" endDate="2024-11-10T00:00:00"/>
        <groupItems count="6">
          <s v="&lt;2021-07-08"/>
          <s v="2021"/>
          <s v="2022"/>
          <s v="2023"/>
          <s v="2024"/>
          <s v="&gt;2024-11-10"/>
        </groupItems>
      </fieldGroup>
    </cacheField>
  </cacheFields>
  <extLst>
    <ext xmlns:x14="http://schemas.microsoft.com/office/spreadsheetml/2009/9/main" uri="{725AE2AE-9491-48be-B2B4-4EB974FC3084}">
      <x14:pivotCacheDefinition pivotCacheId="1733181359"/>
    </ext>
    <ext xmlns:xxpvi="http://schemas.microsoft.com/office/spreadsheetml/2022/pivotVersionInfo" uri="{9F748A41-CAEA-4470-BF7A-CE61E8FFA7F9}">
      <xxpvi:cacheVersionInfo>
        <xxpvi:lastRefreshFeature>RichData</xxpvi:lastRefreshFeature>
      </xxpvi:cacheVersionInfo>
    </ext>
    <ext xmlns:xprd="http://schemas.microsoft.com/office/spreadsheetml/2022/pivotRichData" uri="{2C874A73-7782-4A18-856F-96AC7E287872}">
      <xprd:richInfo pivotCacheGuid="{AFE39529-732E-4B67-885E-25BA3A3BBFCE}" pivotIgnoreInvalidCache="1" r:id="rId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ncy Zhou" refreshedDate="45623.71633599537" createdVersion="8" refreshedVersion="8" minRefreshableVersion="3" recordCount="3" xr:uid="{A3C657E7-7E57-4D2D-8149-1F901AF3CB22}">
  <cacheSource type="worksheet">
    <worksheetSource name="Table6"/>
  </cacheSource>
  <cacheFields count="9">
    <cacheField name="Goal Name" numFmtId="0">
      <sharedItems count="3">
        <s v="osap"/>
        <s v="Birthday Party Savings"/>
        <s v="Housing Saving"/>
      </sharedItems>
    </cacheField>
    <cacheField name="Target Amount" numFmtId="44">
      <sharedItems containsSemiMixedTypes="0" containsString="0" containsNumber="1" containsInteger="1" minValue="300" maxValue="10000"/>
    </cacheField>
    <cacheField name="Current Amount" numFmtId="44">
      <sharedItems containsSemiMixedTypes="0" containsString="0" containsNumber="1" containsInteger="1" minValue="0" maxValue="43"/>
    </cacheField>
    <cacheField name="Start Date " numFmtId="14">
      <sharedItems containsSemiMixedTypes="0" containsNonDate="0" containsDate="1" containsString="0" minDate="2024-09-09T00:00:00" maxDate="2025-12-12T00:00:00" count="3">
        <d v="2024-11-21T00:00:00"/>
        <d v="2024-09-09T00:00:00"/>
        <d v="2025-12-11T00:00:00"/>
      </sharedItems>
      <fieldGroup par="8"/>
    </cacheField>
    <cacheField name="Target Completion Date " numFmtId="14">
      <sharedItems containsSemiMixedTypes="0" containsNonDate="0" containsDate="1" containsString="0" minDate="2025-07-14T00:00:00" maxDate="2029-09-10T00:00:00"/>
    </cacheField>
    <cacheField name="Progress %" numFmtId="9">
      <sharedItems containsSemiMixedTypes="0" containsString="0" containsNumber="1" minValue="0" maxValue="3.3300000000000003E-2"/>
    </cacheField>
    <cacheField name="Months (Start Date )" numFmtId="0" databaseField="0">
      <fieldGroup base="3">
        <rangePr groupBy="months" startDate="2024-09-09T00:00:00" endDate="2025-12-12T00:00:00"/>
        <groupItems count="14">
          <s v="&lt;2024-09-09"/>
          <s v="Jan"/>
          <s v="Feb"/>
          <s v="Mar"/>
          <s v="Apr"/>
          <s v="May"/>
          <s v="Jun"/>
          <s v="Jul"/>
          <s v="Aug"/>
          <s v="Sep"/>
          <s v="Oct"/>
          <s v="Nov"/>
          <s v="Dec"/>
          <s v="&gt;2025-12-12"/>
        </groupItems>
      </fieldGroup>
    </cacheField>
    <cacheField name="Quarters (Start Date )" numFmtId="0" databaseField="0">
      <fieldGroup base="3">
        <rangePr groupBy="quarters" startDate="2024-09-09T00:00:00" endDate="2025-12-12T00:00:00"/>
        <groupItems count="6">
          <s v="&lt;2024-09-09"/>
          <s v="Qtr1"/>
          <s v="Qtr2"/>
          <s v="Qtr3"/>
          <s v="Qtr4"/>
          <s v="&gt;2025-12-12"/>
        </groupItems>
      </fieldGroup>
    </cacheField>
    <cacheField name="Years (Start Date )" numFmtId="0" databaseField="0">
      <fieldGroup base="3">
        <rangePr groupBy="years" startDate="2024-09-09T00:00:00" endDate="2025-12-12T00:00:00"/>
        <groupItems count="4">
          <s v="&lt;2024-09-09"/>
          <s v="2024"/>
          <s v="2025"/>
          <s v="&gt;2025-12-1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n v="10"/>
    <x v="0"/>
    <x v="0"/>
  </r>
  <r>
    <x v="1"/>
    <x v="1"/>
    <n v="123"/>
    <x v="1"/>
    <x v="1"/>
  </r>
  <r>
    <x v="1"/>
    <x v="2"/>
    <n v="400"/>
    <x v="1"/>
    <x v="2"/>
  </r>
  <r>
    <x v="2"/>
    <x v="2"/>
    <n v="500"/>
    <x v="0"/>
    <x v="3"/>
  </r>
  <r>
    <x v="3"/>
    <x v="2"/>
    <n v="70"/>
    <x v="1"/>
    <x v="4"/>
  </r>
  <r>
    <x v="4"/>
    <x v="2"/>
    <n v="200"/>
    <x v="0"/>
    <x v="3"/>
  </r>
  <r>
    <x v="5"/>
    <x v="2"/>
    <n v="300"/>
    <x v="0"/>
    <x v="0"/>
  </r>
  <r>
    <x v="6"/>
    <x v="2"/>
    <n v="500"/>
    <x v="0"/>
    <x v="3"/>
  </r>
  <r>
    <x v="7"/>
    <x v="2"/>
    <n v="300"/>
    <x v="0"/>
    <x v="0"/>
  </r>
  <r>
    <x v="8"/>
    <x v="2"/>
    <n v="80"/>
    <x v="1"/>
    <x v="4"/>
  </r>
  <r>
    <x v="9"/>
    <x v="2"/>
    <n v="100"/>
    <x v="1"/>
    <x v="4"/>
  </r>
  <r>
    <x v="10"/>
    <x v="1"/>
    <n v="90"/>
    <x v="0"/>
    <x v="1"/>
  </r>
  <r>
    <x v="11"/>
    <x v="1"/>
    <n v="90"/>
    <x v="0"/>
    <x v="1"/>
  </r>
  <r>
    <x v="11"/>
    <x v="3"/>
    <n v="300"/>
    <x v="2"/>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x v="0"/>
    <n v="10"/>
    <x v="0"/>
  </r>
  <r>
    <x v="1"/>
    <x v="1"/>
    <n v="123"/>
    <x v="0"/>
  </r>
  <r>
    <x v="1"/>
    <x v="2"/>
    <n v="400"/>
    <x v="0"/>
  </r>
  <r>
    <x v="2"/>
    <x v="2"/>
    <n v="500"/>
    <x v="0"/>
  </r>
  <r>
    <x v="3"/>
    <x v="2"/>
    <n v="70"/>
    <x v="0"/>
  </r>
  <r>
    <x v="4"/>
    <x v="2"/>
    <n v="200"/>
    <x v="0"/>
  </r>
  <r>
    <x v="5"/>
    <x v="2"/>
    <n v="300"/>
    <x v="0"/>
  </r>
  <r>
    <x v="6"/>
    <x v="2"/>
    <n v="500"/>
    <x v="0"/>
  </r>
  <r>
    <x v="7"/>
    <x v="2"/>
    <n v="300"/>
    <x v="0"/>
  </r>
  <r>
    <x v="8"/>
    <x v="2"/>
    <n v="80"/>
    <x v="0"/>
  </r>
  <r>
    <x v="9"/>
    <x v="2"/>
    <n v="100"/>
    <x v="0"/>
  </r>
  <r>
    <x v="10"/>
    <x v="1"/>
    <n v="90"/>
    <x v="0"/>
  </r>
  <r>
    <x v="11"/>
    <x v="1"/>
    <n v="90"/>
    <x v="0"/>
  </r>
  <r>
    <x v="11"/>
    <x v="3"/>
    <n v="300"/>
    <x v="0"/>
  </r>
  <r>
    <x v="12"/>
    <x v="1"/>
    <n v="18"/>
    <x v="1"/>
  </r>
  <r>
    <x v="13"/>
    <x v="0"/>
    <n v="80"/>
    <x v="1"/>
  </r>
  <r>
    <x v="14"/>
    <x v="2"/>
    <n v="32"/>
    <x v="1"/>
  </r>
  <r>
    <x v="15"/>
    <x v="3"/>
    <n v="44"/>
    <x v="1"/>
  </r>
  <r>
    <x v="15"/>
    <x v="2"/>
    <n v="90"/>
    <x v="1"/>
  </r>
  <r>
    <x v="16"/>
    <x v="3"/>
    <n v="80"/>
    <x v="1"/>
  </r>
  <r>
    <x v="15"/>
    <x v="3"/>
    <n v="90"/>
    <x v="1"/>
  </r>
  <r>
    <x v="17"/>
    <x v="0"/>
    <n v="80"/>
    <x v="1"/>
  </r>
  <r>
    <x v="16"/>
    <x v="0"/>
    <n v="20"/>
    <x v="1"/>
  </r>
  <r>
    <x v="18"/>
    <x v="3"/>
    <n v="30"/>
    <x v="1"/>
  </r>
  <r>
    <x v="19"/>
    <x v="3"/>
    <n v="10"/>
    <x v="1"/>
  </r>
  <r>
    <x v="20"/>
    <x v="2"/>
    <n v="80"/>
    <x v="1"/>
  </r>
  <r>
    <x v="21"/>
    <x v="3"/>
    <n v="100"/>
    <x v="1"/>
  </r>
  <r>
    <x v="17"/>
    <x v="0"/>
    <n v="2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n v="18"/>
    <x v="0"/>
  </r>
  <r>
    <x v="1"/>
    <x v="1"/>
    <n v="80"/>
    <x v="1"/>
  </r>
  <r>
    <x v="2"/>
    <x v="2"/>
    <n v="32"/>
    <x v="0"/>
  </r>
  <r>
    <x v="3"/>
    <x v="3"/>
    <n v="44"/>
    <x v="1"/>
  </r>
  <r>
    <x v="2"/>
    <x v="3"/>
    <n v="90"/>
    <x v="2"/>
  </r>
  <r>
    <x v="3"/>
    <x v="4"/>
    <n v="80"/>
    <x v="0"/>
  </r>
  <r>
    <x v="3"/>
    <x v="3"/>
    <n v="90"/>
    <x v="1"/>
  </r>
  <r>
    <x v="1"/>
    <x v="5"/>
    <n v="80"/>
    <x v="1"/>
  </r>
  <r>
    <x v="1"/>
    <x v="4"/>
    <n v="20"/>
    <x v="2"/>
  </r>
  <r>
    <x v="3"/>
    <x v="6"/>
    <n v="30"/>
    <x v="2"/>
  </r>
  <r>
    <x v="3"/>
    <x v="7"/>
    <n v="10"/>
    <x v="1"/>
  </r>
  <r>
    <x v="2"/>
    <x v="8"/>
    <n v="80"/>
    <x v="1"/>
  </r>
  <r>
    <x v="3"/>
    <x v="9"/>
    <n v="100"/>
    <x v="1"/>
  </r>
  <r>
    <x v="1"/>
    <x v="5"/>
    <n v="20"/>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9000"/>
    <n v="43"/>
    <x v="0"/>
    <d v="2029-09-09T00:00:00"/>
    <n v="4.7777777777777775E-3"/>
  </r>
  <r>
    <x v="1"/>
    <n v="300"/>
    <n v="10"/>
    <x v="1"/>
    <d v="2025-07-14T00:00:00"/>
    <n v="3.3300000000000003E-2"/>
  </r>
  <r>
    <x v="2"/>
    <n v="10000"/>
    <n v="0"/>
    <x v="2"/>
    <d v="2029-09-09T00:00:00"/>
    <n v="0"/>
  </r>
</pivotCacheRecords>
</file>

<file path=xl/pivotCache/richPivot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x v="0"/>
    <n v="2"/>
    <n v="50"/>
    <n v="100"/>
    <n v="231.46"/>
    <n v="462.92"/>
    <x v="0"/>
    <x v="0"/>
    <x v="0"/>
    <n v="3.6292"/>
  </r>
  <r>
    <x v="1"/>
    <x v="0"/>
    <x v="1"/>
    <n v="6"/>
    <n v="90"/>
    <n v="540"/>
    <n v="360.14"/>
    <n v="2160.84"/>
    <x v="1"/>
    <x v="0"/>
    <x v="0"/>
    <n v="3.001555555555556"/>
  </r>
  <r>
    <x v="2"/>
    <x v="1"/>
    <x v="2"/>
    <n v="1"/>
    <n v="1000"/>
    <n v="1000"/>
    <n v="338.84"/>
    <n v="338.84"/>
    <x v="2"/>
    <x v="1"/>
    <x v="0"/>
    <n v="-0.66116000000000008"/>
  </r>
  <r>
    <x v="3"/>
    <x v="2"/>
    <x v="0"/>
    <n v="1"/>
    <n v="1000"/>
    <n v="1000"/>
    <n v="65.540000000000006"/>
    <n v="65.540000000000006"/>
    <x v="3"/>
    <x v="0"/>
    <x v="0"/>
    <n v="-0.93446000000000007"/>
  </r>
  <r>
    <x v="4"/>
    <x v="0"/>
    <x v="0"/>
    <n v="1"/>
    <n v="200"/>
    <n v="200"/>
    <n v="115.68"/>
    <n v="115.68"/>
    <x v="4"/>
    <x v="0"/>
    <x v="1"/>
    <n v="-0.421599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CE7B34-5159-404B-B4F3-8B483D352A73}" name="PivotTable8"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U4:V8" firstHeaderRow="1" firstDataRow="1" firstDataCol="1"/>
  <pivotFields count="9">
    <pivotField axis="axisRow" showAll="0">
      <items count="4">
        <item x="1"/>
        <item x="2"/>
        <item x="0"/>
        <item t="default"/>
      </items>
    </pivotField>
    <pivotField numFmtId="44" showAll="0"/>
    <pivotField numFmtId="44" showAll="0"/>
    <pivotField numFmtId="14" showAll="0">
      <items count="4">
        <item x="1"/>
        <item x="0"/>
        <item x="2"/>
        <item t="default"/>
      </items>
    </pivotField>
    <pivotField numFmtId="14" showAll="0"/>
    <pivotField dataField="1" numFmtId="9"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0"/>
  </rowFields>
  <rowItems count="4">
    <i>
      <x/>
    </i>
    <i>
      <x v="1"/>
    </i>
    <i>
      <x v="2"/>
    </i>
    <i t="grand">
      <x/>
    </i>
  </rowItems>
  <colItems count="1">
    <i/>
  </colItems>
  <dataFields count="1">
    <dataField name="Sum of Progress %" fld="5" baseField="0" baseItem="0" numFmtId="9"/>
  </dataFields>
  <chartFormats count="3">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9A7037-13E1-47D0-8B75-AE8F63BD829A}"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E21:J31" firstHeaderRow="1" firstDataRow="2" firstDataCol="1"/>
  <pivotFields count="7">
    <pivotField axis="axisRow" numFmtId="14" showAll="0">
      <items count="23">
        <item x="12"/>
        <item x="0"/>
        <item x="1"/>
        <item x="2"/>
        <item x="3"/>
        <item x="4"/>
        <item x="5"/>
        <item x="6"/>
        <item x="7"/>
        <item x="8"/>
        <item x="9"/>
        <item x="21"/>
        <item x="14"/>
        <item x="13"/>
        <item x="15"/>
        <item x="17"/>
        <item x="16"/>
        <item x="18"/>
        <item x="19"/>
        <item x="10"/>
        <item x="20"/>
        <item x="11"/>
        <item t="default"/>
      </items>
    </pivotField>
    <pivotField axis="axisCol" showAll="0">
      <items count="5">
        <item x="2"/>
        <item x="3"/>
        <item x="1"/>
        <item x="0"/>
        <item t="default"/>
      </items>
    </pivotField>
    <pivotField dataField="1" numFmtId="7" showAll="0"/>
    <pivotField axis="axisRow" showAll="0">
      <items count="3">
        <item h="1" x="1"/>
        <item x="0"/>
        <item t="default"/>
      </items>
    </pivotField>
    <pivotField axis="axisRow" showAll="0">
      <items count="15">
        <item sd="0" x="0"/>
        <item sd="0" x="1"/>
        <item sd="0" x="2"/>
        <item sd="0" x="3"/>
        <item sd="0" x="4"/>
        <item sd="0" x="5"/>
        <item sd="0" x="6"/>
        <item sd="0" x="7"/>
        <item sd="0" x="8"/>
        <item sd="0" x="9"/>
        <item sd="0" x="10"/>
        <item sd="0" x="11"/>
        <item sd="0" x="12"/>
        <item sd="0" x="13"/>
        <item t="default" sd="0"/>
      </items>
    </pivotField>
    <pivotField showAll="0">
      <items count="7">
        <item sd="0" x="0"/>
        <item sd="0" x="1"/>
        <item sd="0" x="2"/>
        <item sd="0" x="3"/>
        <item sd="0" x="4"/>
        <item sd="0" x="5"/>
        <item t="default"/>
      </items>
    </pivotField>
    <pivotField showAll="0">
      <items count="20">
        <item x="0"/>
        <item x="1"/>
        <item x="2"/>
        <item x="3"/>
        <item x="4"/>
        <item x="5"/>
        <item x="6"/>
        <item x="7"/>
        <item x="8"/>
        <item x="9"/>
        <item x="10"/>
        <item x="11"/>
        <item x="12"/>
        <item x="13"/>
        <item x="14"/>
        <item x="15"/>
        <item x="16"/>
        <item x="17"/>
        <item x="18"/>
        <item t="default"/>
      </items>
    </pivotField>
  </pivotFields>
  <rowFields count="3">
    <field x="3"/>
    <field x="4"/>
    <field x="0"/>
  </rowFields>
  <rowItems count="9">
    <i>
      <x v="1"/>
    </i>
    <i r="1">
      <x v="1"/>
    </i>
    <i r="1">
      <x v="2"/>
    </i>
    <i r="1">
      <x v="3"/>
    </i>
    <i r="1">
      <x v="4"/>
    </i>
    <i r="1">
      <x v="5"/>
    </i>
    <i r="1">
      <x v="9"/>
    </i>
    <i r="1">
      <x v="11"/>
    </i>
    <i t="grand">
      <x/>
    </i>
  </rowItems>
  <colFields count="1">
    <field x="1"/>
  </colFields>
  <colItems count="5">
    <i>
      <x/>
    </i>
    <i>
      <x v="1"/>
    </i>
    <i>
      <x v="2"/>
    </i>
    <i>
      <x v="3"/>
    </i>
    <i t="grand">
      <x/>
    </i>
  </colItems>
  <dataFields count="1">
    <dataField name="Sum of Amount" fld="2" baseField="0" baseItem="0" numFmtId="7"/>
  </dataFields>
  <chartFormats count="4">
    <chartFormat chart="19" format="6" series="1">
      <pivotArea type="data" outline="0" fieldPosition="0">
        <references count="2">
          <reference field="4294967294" count="1" selected="0">
            <x v="0"/>
          </reference>
          <reference field="1" count="1" selected="0">
            <x v="0"/>
          </reference>
        </references>
      </pivotArea>
    </chartFormat>
    <chartFormat chart="19" format="7" series="1">
      <pivotArea type="data" outline="0" fieldPosition="0">
        <references count="2">
          <reference field="4294967294" count="1" selected="0">
            <x v="0"/>
          </reference>
          <reference field="1" count="1" selected="0">
            <x v="2"/>
          </reference>
        </references>
      </pivotArea>
    </chartFormat>
    <chartFormat chart="19" format="8" series="1">
      <pivotArea type="data" outline="0" fieldPosition="0">
        <references count="2">
          <reference field="4294967294" count="1" selected="0">
            <x v="0"/>
          </reference>
          <reference field="1" count="1" selected="0">
            <x v="3"/>
          </reference>
        </references>
      </pivotArea>
    </chartFormat>
    <chartFormat chart="19" format="9"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878B824-9875-4331-B0D6-AA01BF6424E9}" name="PivotTable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Q9:S15" firstHeaderRow="0" firstDataRow="1" firstDataCol="1" rowPageCount="4" colPageCount="1"/>
  <pivotFields count="15">
    <pivotField axis="axisRow" showAll="0">
      <items count="6">
        <item x="0"/>
        <item x="3"/>
        <item x="4"/>
        <item x="2"/>
        <item x="1"/>
        <item t="default"/>
      </items>
    </pivotField>
    <pivotField axis="axisPage" showAll="0">
      <items count="4">
        <item x="1"/>
        <item x="2"/>
        <item x="0"/>
        <item t="default"/>
      </items>
    </pivotField>
    <pivotField numFmtId="14" showAll="0">
      <items count="4">
        <item x="1"/>
        <item x="0"/>
        <item x="2"/>
        <item t="default"/>
      </items>
    </pivotField>
    <pivotField showAll="0"/>
    <pivotField dataField="1" numFmtId="44" showAll="0"/>
    <pivotField numFmtId="44" showAll="0"/>
    <pivotField dataField="1" numFmtId="164" showAll="0"/>
    <pivotField showAll="0"/>
    <pivotField axis="axisPage" showAll="0">
      <items count="6">
        <item x="3"/>
        <item x="2"/>
        <item x="0"/>
        <item x="4"/>
        <item x="1"/>
        <item t="default"/>
      </items>
    </pivotField>
    <pivotField axis="axisPage" showAll="0">
      <items count="3">
        <item x="1"/>
        <item x="0"/>
        <item t="default"/>
      </items>
    </pivotField>
    <pivotField axis="axisPage" showAll="0">
      <items count="3">
        <item x="1"/>
        <item x="0"/>
        <item t="default"/>
      </items>
    </pivotField>
    <pivotField numFmtId="9"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s>
  <rowFields count="1">
    <field x="0"/>
  </rowFields>
  <rowItems count="6">
    <i>
      <x/>
    </i>
    <i>
      <x v="1"/>
    </i>
    <i>
      <x v="2"/>
    </i>
    <i>
      <x v="3"/>
    </i>
    <i>
      <x v="4"/>
    </i>
    <i t="grand">
      <x/>
    </i>
  </rowItems>
  <colFields count="1">
    <field x="-2"/>
  </colFields>
  <colItems count="2">
    <i>
      <x/>
    </i>
    <i i="1">
      <x v="1"/>
    </i>
  </colItems>
  <pageFields count="4">
    <pageField fld="1" hier="-1"/>
    <pageField fld="8" hier="-1"/>
    <pageField fld="10" hier="-1"/>
    <pageField fld="9" hier="-1"/>
  </pageFields>
  <dataFields count="2">
    <dataField name="Sum of Purchase Price" fld="4" baseField="0" baseItem="0" numFmtId="44"/>
    <dataField name="Sum of Current Market Price" fld="6" baseField="0" baseItem="0"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D6E653-DE3B-4647-B9F8-5F64C438C06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7:B14" firstHeaderRow="1" firstDataRow="1" firstDataCol="1" rowPageCount="2" colPageCount="1"/>
  <pivotFields count="8">
    <pivotField numFmtId="14" showAll="0">
      <items count="13">
        <item x="0"/>
        <item x="1"/>
        <item x="2"/>
        <item x="3"/>
        <item x="4"/>
        <item x="5"/>
        <item x="6"/>
        <item x="7"/>
        <item x="8"/>
        <item x="9"/>
        <item x="11"/>
        <item x="10"/>
        <item t="default"/>
      </items>
    </pivotField>
    <pivotField axis="axisPage" showAll="0">
      <items count="5">
        <item x="2"/>
        <item x="1"/>
        <item x="0"/>
        <item x="3"/>
        <item t="default"/>
      </items>
    </pivotField>
    <pivotField dataField="1" numFmtId="44" showAll="0"/>
    <pivotField axis="axisPage" showAll="0">
      <items count="4">
        <item x="1"/>
        <item x="0"/>
        <item x="2"/>
        <item t="default"/>
      </items>
    </pivotField>
    <pivotField axis="axisRow" showAll="0">
      <items count="7">
        <item x="4"/>
        <item x="3"/>
        <item x="1"/>
        <item x="0"/>
        <item x="2"/>
        <item x="5"/>
        <item t="default"/>
      </items>
    </pivotField>
    <pivotField showAll="0" defaultSubtotal="0">
      <items count="14">
        <item x="0"/>
        <item x="1"/>
        <item x="2"/>
        <item x="3"/>
        <item x="4"/>
        <item x="5"/>
        <item x="6"/>
        <item x="7"/>
        <item x="8"/>
        <item x="9"/>
        <item x="10"/>
        <item x="11"/>
        <item x="12"/>
        <item x="13"/>
      </items>
    </pivotField>
    <pivotField showAll="0" defaultSubtotal="0"/>
    <pivotField showAll="0" defaultSubtotal="0">
      <items count="7">
        <item x="0"/>
        <item x="1"/>
        <item x="2"/>
        <item x="3"/>
        <item x="4"/>
        <item x="5"/>
        <item x="6"/>
      </items>
    </pivotField>
  </pivotFields>
  <rowFields count="1">
    <field x="4"/>
  </rowFields>
  <rowItems count="7">
    <i>
      <x/>
    </i>
    <i>
      <x v="1"/>
    </i>
    <i>
      <x v="2"/>
    </i>
    <i>
      <x v="3"/>
    </i>
    <i>
      <x v="4"/>
    </i>
    <i>
      <x v="5"/>
    </i>
    <i t="grand">
      <x/>
    </i>
  </rowItems>
  <colItems count="1">
    <i/>
  </colItems>
  <pageFields count="2">
    <pageField fld="3" hier="-1"/>
    <pageField fld="1" hier="-1"/>
  </pageFields>
  <dataFields count="1">
    <dataField name="Sum of Income Amount ($)" fld="2" baseField="0" baseItem="0" numFmtId="44"/>
  </dataFields>
  <chartFormats count="17">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4" count="1" selected="0">
            <x v="0"/>
          </reference>
        </references>
      </pivotArea>
    </chartFormat>
    <chartFormat chart="7" format="8">
      <pivotArea type="data" outline="0" fieldPosition="0">
        <references count="2">
          <reference field="4294967294" count="1" selected="0">
            <x v="0"/>
          </reference>
          <reference field="4" count="1" selected="0">
            <x v="1"/>
          </reference>
        </references>
      </pivotArea>
    </chartFormat>
    <chartFormat chart="7" format="9">
      <pivotArea type="data" outline="0" fieldPosition="0">
        <references count="2">
          <reference field="4294967294" count="1" selected="0">
            <x v="0"/>
          </reference>
          <reference field="4" count="1" selected="0">
            <x v="3"/>
          </reference>
        </references>
      </pivotArea>
    </chartFormat>
    <chartFormat chart="7" format="10">
      <pivotArea type="data" outline="0" fieldPosition="0">
        <references count="2">
          <reference field="4294967294" count="1" selected="0">
            <x v="0"/>
          </reference>
          <reference field="4" count="1" selected="0">
            <x v="4"/>
          </reference>
        </references>
      </pivotArea>
    </chartFormat>
    <chartFormat chart="15" format="8" series="1">
      <pivotArea type="data" outline="0" fieldPosition="0">
        <references count="1">
          <reference field="4294967294" count="1" selected="0">
            <x v="0"/>
          </reference>
        </references>
      </pivotArea>
    </chartFormat>
    <chartFormat chart="15" format="9">
      <pivotArea type="data" outline="0" fieldPosition="0">
        <references count="2">
          <reference field="4294967294" count="1" selected="0">
            <x v="0"/>
          </reference>
          <reference field="4" count="1" selected="0">
            <x v="0"/>
          </reference>
        </references>
      </pivotArea>
    </chartFormat>
    <chartFormat chart="15" format="10">
      <pivotArea type="data" outline="0" fieldPosition="0">
        <references count="2">
          <reference field="4294967294" count="1" selected="0">
            <x v="0"/>
          </reference>
          <reference field="4" count="1" selected="0">
            <x v="1"/>
          </reference>
        </references>
      </pivotArea>
    </chartFormat>
    <chartFormat chart="15" format="11">
      <pivotArea type="data" outline="0" fieldPosition="0">
        <references count="2">
          <reference field="4294967294" count="1" selected="0">
            <x v="0"/>
          </reference>
          <reference field="4" count="1" selected="0">
            <x v="2"/>
          </reference>
        </references>
      </pivotArea>
    </chartFormat>
    <chartFormat chart="15" format="12">
      <pivotArea type="data" outline="0" fieldPosition="0">
        <references count="2">
          <reference field="4294967294" count="1" selected="0">
            <x v="0"/>
          </reference>
          <reference field="4" count="1" selected="0">
            <x v="3"/>
          </reference>
        </references>
      </pivotArea>
    </chartFormat>
    <chartFormat chart="15" format="13">
      <pivotArea type="data" outline="0" fieldPosition="0">
        <references count="2">
          <reference field="4294967294" count="1" selected="0">
            <x v="0"/>
          </reference>
          <reference field="4" count="1" selected="0">
            <x v="4"/>
          </reference>
        </references>
      </pivotArea>
    </chartFormat>
    <chartFormat chart="15" format="14">
      <pivotArea type="data" outline="0" fieldPosition="0">
        <references count="2">
          <reference field="4294967294" count="1" selected="0">
            <x v="0"/>
          </reference>
          <reference field="4" count="1" selected="0">
            <x v="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1252584-7CF4-412E-9957-E827790C5105}"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N9:O15" firstHeaderRow="1" firstDataRow="1" firstDataCol="1" rowPageCount="4" colPageCount="1"/>
  <pivotFields count="15">
    <pivotField axis="axisRow" showAll="0">
      <items count="6">
        <item x="0"/>
        <item x="3"/>
        <item x="4"/>
        <item x="2"/>
        <item x="1"/>
        <item t="default"/>
      </items>
    </pivotField>
    <pivotField axis="axisPage" showAll="0">
      <items count="4">
        <item x="1"/>
        <item x="2"/>
        <item x="0"/>
        <item t="default"/>
      </items>
    </pivotField>
    <pivotField numFmtId="14" showAll="0">
      <items count="4">
        <item x="1"/>
        <item x="0"/>
        <item x="2"/>
        <item t="default"/>
      </items>
    </pivotField>
    <pivotField showAll="0"/>
    <pivotField numFmtId="44" showAll="0"/>
    <pivotField numFmtId="44" showAll="0"/>
    <pivotField numFmtId="164" showAll="0"/>
    <pivotField showAll="0"/>
    <pivotField axis="axisPage" showAll="0">
      <items count="6">
        <item x="3"/>
        <item x="2"/>
        <item x="0"/>
        <item x="4"/>
        <item x="1"/>
        <item t="default"/>
      </items>
    </pivotField>
    <pivotField axis="axisPage" showAll="0">
      <items count="3">
        <item x="1"/>
        <item x="0"/>
        <item t="default"/>
      </items>
    </pivotField>
    <pivotField axis="axisPage" showAll="0">
      <items count="3">
        <item x="1"/>
        <item x="0"/>
        <item t="default"/>
      </items>
    </pivotField>
    <pivotField dataField="1" numFmtId="9"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h="1" sd="0" x="0"/>
        <item sd="0" x="1"/>
        <item h="1" sd="0" x="2"/>
        <item h="1" sd="0" x="3"/>
        <item sd="0" x="4"/>
        <item sd="0" x="5"/>
        <item t="default"/>
      </items>
    </pivotField>
  </pivotFields>
  <rowFields count="1">
    <field x="0"/>
  </rowFields>
  <rowItems count="6">
    <i>
      <x/>
    </i>
    <i>
      <x v="1"/>
    </i>
    <i>
      <x v="2"/>
    </i>
    <i>
      <x v="3"/>
    </i>
    <i>
      <x v="4"/>
    </i>
    <i t="grand">
      <x/>
    </i>
  </rowItems>
  <colItems count="1">
    <i/>
  </colItems>
  <pageFields count="4">
    <pageField fld="10" hier="-1"/>
    <pageField fld="9" hier="-1"/>
    <pageField fld="8" hier="-1"/>
    <pageField fld="1" hier="-1"/>
  </pageFields>
  <dataFields count="1">
    <dataField name="Sum of ROI" fld="11" baseField="14" baseItem="0" numFmtId="9"/>
  </dataFields>
  <chartFormats count="20">
    <chartFormat chart="0" format="5" series="1">
      <pivotArea type="data" outline="0" fieldPosition="0">
        <references count="1">
          <reference field="0" count="1" selected="0">
            <x v="0"/>
          </reference>
        </references>
      </pivotArea>
    </chartFormat>
    <chartFormat chart="0" format="6" series="1">
      <pivotArea type="data" outline="0" fieldPosition="0">
        <references count="1">
          <reference field="0" count="1" selected="0">
            <x v="1"/>
          </reference>
        </references>
      </pivotArea>
    </chartFormat>
    <chartFormat chart="0" format="7" series="1">
      <pivotArea type="data" outline="0" fieldPosition="0">
        <references count="1">
          <reference field="0" count="1" selected="0">
            <x v="2"/>
          </reference>
        </references>
      </pivotArea>
    </chartFormat>
    <chartFormat chart="0" format="8" series="1">
      <pivotArea type="data" outline="0" fieldPosition="0">
        <references count="1">
          <reference field="0" count="1" selected="0">
            <x v="3"/>
          </reference>
        </references>
      </pivotArea>
    </chartFormat>
    <chartFormat chart="0" format="9" series="1">
      <pivotArea type="data" outline="0" fieldPosition="0">
        <references count="1">
          <reference field="0" count="1" selected="0">
            <x v="4"/>
          </reference>
        </references>
      </pivotArea>
    </chartFormat>
    <chartFormat chart="3" format="10" series="1">
      <pivotArea type="data" outline="0" fieldPosition="0">
        <references count="2">
          <reference field="4294967294" count="1" selected="0">
            <x v="0"/>
          </reference>
          <reference field="0" count="1" selected="0">
            <x v="3"/>
          </reference>
        </references>
      </pivotArea>
    </chartFormat>
    <chartFormat chart="3" format="11" series="1">
      <pivotArea type="data" outline="0" fieldPosition="0">
        <references count="2">
          <reference field="4294967294" count="1" selected="0">
            <x v="0"/>
          </reference>
          <reference field="0" count="1" selected="0">
            <x v="4"/>
          </reference>
        </references>
      </pivotArea>
    </chartFormat>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0" format="20" series="1">
      <pivotArea type="data" outline="0" fieldPosition="0">
        <references count="2">
          <reference field="4294967294" count="1" selected="0">
            <x v="0"/>
          </reference>
          <reference field="0" count="1" selected="0">
            <x v="3"/>
          </reference>
        </references>
      </pivotArea>
    </chartFormat>
    <chartFormat chart="0" format="21" series="1">
      <pivotArea type="data" outline="0" fieldPosition="0">
        <references count="2">
          <reference field="4294967294" count="1" selected="0">
            <x v="0"/>
          </reference>
          <reference field="0" count="1" selected="0">
            <x v="4"/>
          </reference>
        </references>
      </pivotArea>
    </chartFormat>
    <chartFormat chart="0" format="22" series="1">
      <pivotArea type="data" outline="0" fieldPosition="0">
        <references count="2">
          <reference field="4294967294" count="1" selected="0">
            <x v="0"/>
          </reference>
          <reference field="0" count="1" selected="0">
            <x v="0"/>
          </reference>
        </references>
      </pivotArea>
    </chartFormat>
    <chartFormat chart="0" format="23" series="1">
      <pivotArea type="data" outline="0" fieldPosition="0">
        <references count="2">
          <reference field="4294967294" count="1" selected="0">
            <x v="0"/>
          </reference>
          <reference field="0" count="1" selected="0">
            <x v="1"/>
          </reference>
        </references>
      </pivotArea>
    </chartFormat>
    <chartFormat chart="0" format="2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1">
          <reference field="4294967294" count="1" selected="0">
            <x v="0"/>
          </reference>
        </references>
      </pivotArea>
    </chartFormat>
    <chartFormat chart="0" format="25"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97DD009-5C0D-4462-9DDE-6860626E402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D7:E12" firstHeaderRow="1" firstDataRow="1" firstDataCol="1" rowPageCount="3" colPageCount="1"/>
  <pivotFields count="8">
    <pivotField numFmtId="14" showAll="0">
      <items count="13">
        <item x="0"/>
        <item x="1"/>
        <item x="2"/>
        <item x="3"/>
        <item x="4"/>
        <item x="5"/>
        <item x="6"/>
        <item x="7"/>
        <item x="8"/>
        <item x="9"/>
        <item x="11"/>
        <item x="10"/>
        <item t="default"/>
      </items>
    </pivotField>
    <pivotField axis="axisRow" showAll="0">
      <items count="5">
        <item x="2"/>
        <item x="1"/>
        <item x="0"/>
        <item x="3"/>
        <item t="default"/>
      </items>
    </pivotField>
    <pivotField dataField="1" numFmtId="44" showAll="0"/>
    <pivotField axis="axisPage" showAll="0">
      <items count="4">
        <item x="1"/>
        <item x="0"/>
        <item x="2"/>
        <item t="default"/>
      </items>
    </pivotField>
    <pivotField axis="axisPage" showAll="0">
      <items count="7">
        <item x="4"/>
        <item x="3"/>
        <item x="1"/>
        <item x="0"/>
        <item x="2"/>
        <item x="5"/>
        <item t="default"/>
      </items>
    </pivotField>
    <pivotField axis="axisPage"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s>
  <rowFields count="1">
    <field x="1"/>
  </rowFields>
  <rowItems count="5">
    <i>
      <x/>
    </i>
    <i>
      <x v="1"/>
    </i>
    <i>
      <x v="2"/>
    </i>
    <i>
      <x v="3"/>
    </i>
    <i t="grand">
      <x/>
    </i>
  </rowItems>
  <colItems count="1">
    <i/>
  </colItems>
  <pageFields count="3">
    <pageField fld="3" hier="-1"/>
    <pageField fld="4" hier="-1"/>
    <pageField fld="5" hier="-1"/>
  </pageFields>
  <dataFields count="1">
    <dataField name="Sum of Income Amount ($)" fld="2" baseField="0" baseItem="0" numFmtId="44"/>
  </dataFields>
  <chartFormats count="30">
    <chartFormat chart="0" format="0" series="1">
      <pivotArea type="data" outline="0" fieldPosition="0">
        <references count="2">
          <reference field="4294967294" count="1" selected="0">
            <x v="0"/>
          </reference>
          <reference field="5" count="1" selected="0">
            <x v="1"/>
          </reference>
        </references>
      </pivotArea>
    </chartFormat>
    <chartFormat chart="0" format="1" series="1">
      <pivotArea type="data" outline="0" fieldPosition="0">
        <references count="2">
          <reference field="4294967294" count="1" selected="0">
            <x v="0"/>
          </reference>
          <reference field="5" count="1" selected="0">
            <x v="2"/>
          </reference>
        </references>
      </pivotArea>
    </chartFormat>
    <chartFormat chart="0" format="2" series="1">
      <pivotArea type="data" outline="0" fieldPosition="0">
        <references count="2">
          <reference field="4294967294" count="1" selected="0">
            <x v="0"/>
          </reference>
          <reference field="5" count="1" selected="0">
            <x v="3"/>
          </reference>
        </references>
      </pivotArea>
    </chartFormat>
    <chartFormat chart="0" format="3" series="1">
      <pivotArea type="data" outline="0" fieldPosition="0">
        <references count="2">
          <reference field="4294967294" count="1" selected="0">
            <x v="0"/>
          </reference>
          <reference field="5" count="1" selected="0">
            <x v="4"/>
          </reference>
        </references>
      </pivotArea>
    </chartFormat>
    <chartFormat chart="0" format="4" series="1">
      <pivotArea type="data" outline="0" fieldPosition="0">
        <references count="2">
          <reference field="4294967294" count="1" selected="0">
            <x v="0"/>
          </reference>
          <reference field="5" count="1" selected="0">
            <x v="5"/>
          </reference>
        </references>
      </pivotArea>
    </chartFormat>
    <chartFormat chart="0" format="5" series="1">
      <pivotArea type="data" outline="0" fieldPosition="0">
        <references count="2">
          <reference field="4294967294" count="1" selected="0">
            <x v="0"/>
          </reference>
          <reference field="5" count="1" selected="0">
            <x v="9"/>
          </reference>
        </references>
      </pivotArea>
    </chartFormat>
    <chartFormat chart="0" format="6" series="1">
      <pivotArea type="data" outline="0" fieldPosition="0">
        <references count="2">
          <reference field="4294967294" count="1" selected="0">
            <x v="0"/>
          </reference>
          <reference field="5" count="1" selected="0">
            <x v="11"/>
          </reference>
        </references>
      </pivotArea>
    </chartFormat>
    <chartFormat chart="0" format="7" series="1">
      <pivotArea type="data" outline="0" fieldPosition="0">
        <references count="2">
          <reference field="4294967294" count="1" selected="0">
            <x v="0"/>
          </reference>
          <reference field="1" count="1" selected="0">
            <x v="0"/>
          </reference>
        </references>
      </pivotArea>
    </chartFormat>
    <chartFormat chart="0" format="8" series="1">
      <pivotArea type="data" outline="0" fieldPosition="0">
        <references count="2">
          <reference field="4294967294" count="1" selected="0">
            <x v="0"/>
          </reference>
          <reference field="1" count="1" selected="0">
            <x v="1"/>
          </reference>
        </references>
      </pivotArea>
    </chartFormat>
    <chartFormat chart="0" format="9" series="1">
      <pivotArea type="data" outline="0" fieldPosition="0">
        <references count="2">
          <reference field="4294967294" count="1" selected="0">
            <x v="0"/>
          </reference>
          <reference field="1" count="1" selected="0">
            <x v="2"/>
          </reference>
        </references>
      </pivotArea>
    </chartFormat>
    <chartFormat chart="0" format="10" series="1">
      <pivotArea type="data" outline="0" fieldPosition="0">
        <references count="3">
          <reference field="4294967294" count="1" selected="0">
            <x v="0"/>
          </reference>
          <reference field="1" count="1" selected="0">
            <x v="0"/>
          </reference>
          <reference field="5" count="1" selected="0">
            <x v="4"/>
          </reference>
        </references>
      </pivotArea>
    </chartFormat>
    <chartFormat chart="0" format="11" series="1">
      <pivotArea type="data" outline="0" fieldPosition="0">
        <references count="3">
          <reference field="4294967294" count="1" selected="0">
            <x v="0"/>
          </reference>
          <reference field="1" count="1" selected="0">
            <x v="0"/>
          </reference>
          <reference field="5" count="1" selected="0">
            <x v="5"/>
          </reference>
        </references>
      </pivotArea>
    </chartFormat>
    <chartFormat chart="0" format="12" series="1">
      <pivotArea type="data" outline="0" fieldPosition="0">
        <references count="3">
          <reference field="4294967294" count="1" selected="0">
            <x v="0"/>
          </reference>
          <reference field="1" count="1" selected="0">
            <x v="1"/>
          </reference>
          <reference field="5" count="1" selected="0">
            <x v="1"/>
          </reference>
        </references>
      </pivotArea>
    </chartFormat>
    <chartFormat chart="0" format="13" series="1">
      <pivotArea type="data" outline="0" fieldPosition="0">
        <references count="3">
          <reference field="4294967294" count="1" selected="0">
            <x v="0"/>
          </reference>
          <reference field="1" count="1" selected="0">
            <x v="1"/>
          </reference>
          <reference field="5" count="1" selected="0">
            <x v="11"/>
          </reference>
        </references>
      </pivotArea>
    </chartFormat>
    <chartFormat chart="0" format="14" series="1">
      <pivotArea type="data" outline="0" fieldPosition="0">
        <references count="3">
          <reference field="4294967294" count="1" selected="0">
            <x v="0"/>
          </reference>
          <reference field="1" count="1" selected="0">
            <x v="2"/>
          </reference>
          <reference field="5" count="1" selected="0">
            <x v="9"/>
          </reference>
        </references>
      </pivotArea>
    </chartFormat>
    <chartFormat chart="4" format="22" series="1">
      <pivotArea type="data" outline="0" fieldPosition="0">
        <references count="2">
          <reference field="4294967294" count="1" selected="0">
            <x v="0"/>
          </reference>
          <reference field="5" count="1" selected="0">
            <x v="1"/>
          </reference>
        </references>
      </pivotArea>
    </chartFormat>
    <chartFormat chart="4" format="23" series="1">
      <pivotArea type="data" outline="0" fieldPosition="0">
        <references count="2">
          <reference field="4294967294" count="1" selected="0">
            <x v="0"/>
          </reference>
          <reference field="5" count="1" selected="0">
            <x v="2"/>
          </reference>
        </references>
      </pivotArea>
    </chartFormat>
    <chartFormat chart="4" format="24" series="1">
      <pivotArea type="data" outline="0" fieldPosition="0">
        <references count="2">
          <reference field="4294967294" count="1" selected="0">
            <x v="0"/>
          </reference>
          <reference field="5" count="1" selected="0">
            <x v="3"/>
          </reference>
        </references>
      </pivotArea>
    </chartFormat>
    <chartFormat chart="4" format="25" series="1">
      <pivotArea type="data" outline="0" fieldPosition="0">
        <references count="2">
          <reference field="4294967294" count="1" selected="0">
            <x v="0"/>
          </reference>
          <reference field="5" count="1" selected="0">
            <x v="4"/>
          </reference>
        </references>
      </pivotArea>
    </chartFormat>
    <chartFormat chart="4" format="26" series="1">
      <pivotArea type="data" outline="0" fieldPosition="0">
        <references count="2">
          <reference field="4294967294" count="1" selected="0">
            <x v="0"/>
          </reference>
          <reference field="5" count="1" selected="0">
            <x v="5"/>
          </reference>
        </references>
      </pivotArea>
    </chartFormat>
    <chartFormat chart="4" format="27" series="1">
      <pivotArea type="data" outline="0" fieldPosition="0">
        <references count="2">
          <reference field="4294967294" count="1" selected="0">
            <x v="0"/>
          </reference>
          <reference field="5" count="1" selected="0">
            <x v="9"/>
          </reference>
        </references>
      </pivotArea>
    </chartFormat>
    <chartFormat chart="4" format="28" series="1">
      <pivotArea type="data" outline="0" fieldPosition="0">
        <references count="2">
          <reference field="4294967294" count="1" selected="0">
            <x v="0"/>
          </reference>
          <reference field="5" count="1" selected="0">
            <x v="11"/>
          </reference>
        </references>
      </pivotArea>
    </chartFormat>
    <chartFormat chart="12" format="9" series="1">
      <pivotArea type="data" outline="0" fieldPosition="0">
        <references count="2">
          <reference field="4294967294" count="1" selected="0">
            <x v="0"/>
          </reference>
          <reference field="5" count="1" selected="0">
            <x v="2"/>
          </reference>
        </references>
      </pivotArea>
    </chartFormat>
    <chartFormat chart="12" format="10" series="1">
      <pivotArea type="data" outline="0" fieldPosition="0">
        <references count="2">
          <reference field="4294967294" count="1" selected="0">
            <x v="0"/>
          </reference>
          <reference field="5" count="1" selected="0">
            <x v="5"/>
          </reference>
        </references>
      </pivotArea>
    </chartFormat>
    <chartFormat chart="12" format="11" series="1">
      <pivotArea type="data" outline="0" fieldPosition="0">
        <references count="2">
          <reference field="4294967294" count="1" selected="0">
            <x v="0"/>
          </reference>
          <reference field="5" count="1" selected="0">
            <x v="3"/>
          </reference>
        </references>
      </pivotArea>
    </chartFormat>
    <chartFormat chart="12" format="12" series="1">
      <pivotArea type="data" outline="0" fieldPosition="0">
        <references count="2">
          <reference field="4294967294" count="1" selected="0">
            <x v="0"/>
          </reference>
          <reference field="5" count="1" selected="0">
            <x v="4"/>
          </reference>
        </references>
      </pivotArea>
    </chartFormat>
    <chartFormat chart="12" format="13" series="1">
      <pivotArea type="data" outline="0" fieldPosition="0">
        <references count="2">
          <reference field="4294967294" count="1" selected="0">
            <x v="0"/>
          </reference>
          <reference field="5" count="1" selected="0">
            <x v="9"/>
          </reference>
        </references>
      </pivotArea>
    </chartFormat>
    <chartFormat chart="12" format="14" series="1">
      <pivotArea type="data" outline="0" fieldPosition="0">
        <references count="2">
          <reference field="4294967294" count="1" selected="0">
            <x v="0"/>
          </reference>
          <reference field="5" count="1" selected="0">
            <x v="11"/>
          </reference>
        </references>
      </pivotArea>
    </chartFormat>
    <chartFormat chart="12" format="15" series="1">
      <pivotArea type="data" outline="0" fieldPosition="0">
        <references count="2">
          <reference field="4294967294" count="1" selected="0">
            <x v="0"/>
          </reference>
          <reference field="5" count="1" selected="0">
            <x v="1"/>
          </reference>
        </references>
      </pivotArea>
    </chartFormat>
    <chartFormat chart="12" format="16"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F1489DE-515E-4B75-AE0E-DFEDC2BD1204}"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O22:P26" firstHeaderRow="1" firstDataRow="1" firstDataCol="1" rowPageCount="2" colPageCount="1"/>
  <pivotFields count="7">
    <pivotField axis="axisPage" showAll="0">
      <items count="5">
        <item x="2"/>
        <item x="3"/>
        <item x="0"/>
        <item x="1"/>
        <item t="default"/>
      </items>
    </pivotField>
    <pivotField axis="axisRow" numFmtId="14" showAll="0">
      <items count="11">
        <item x="0"/>
        <item x="9"/>
        <item x="2"/>
        <item x="1"/>
        <item x="3"/>
        <item x="5"/>
        <item x="4"/>
        <item x="6"/>
        <item x="7"/>
        <item x="8"/>
        <item t="default"/>
      </items>
    </pivotField>
    <pivotField dataField="1" numFmtId="44" showAll="0"/>
    <pivotField axis="axisPage" showAll="0">
      <items count="4">
        <item x="1"/>
        <item x="0"/>
        <item x="2"/>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20">
        <item sd="0" x="0"/>
        <item sd="0" x="1"/>
        <item sd="0" x="2"/>
        <item sd="0" x="3"/>
        <item sd="0" x="4"/>
        <item sd="0" x="5"/>
        <item sd="0" x="6"/>
        <item sd="0" x="7"/>
        <item sd="0" x="8"/>
        <item sd="0" x="9"/>
        <item sd="0" x="10"/>
        <item sd="0" x="11"/>
        <item sd="0" x="12"/>
        <item sd="0" x="13"/>
        <item sd="0" x="14"/>
        <item sd="0" x="15"/>
        <item sd="0" x="16"/>
        <item sd="0" x="17"/>
        <item sd="0" x="18"/>
        <item t="default"/>
      </items>
    </pivotField>
  </pivotFields>
  <rowFields count="2">
    <field x="4"/>
    <field x="1"/>
  </rowFields>
  <rowItems count="4">
    <i>
      <x v="9"/>
    </i>
    <i>
      <x v="10"/>
    </i>
    <i>
      <x v="11"/>
    </i>
    <i t="grand">
      <x/>
    </i>
  </rowItems>
  <colItems count="1">
    <i/>
  </colItems>
  <pageFields count="2">
    <pageField fld="3" hier="-1"/>
    <pageField fld="0" hier="-1"/>
  </pageFields>
  <dataFields count="1">
    <dataField name="Sum of Amount Spent ($)" fld="2" baseField="0" baseItem="0" numFmtId="44"/>
  </dataFields>
  <chartFormats count="1">
    <chartFormat chart="9"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7">
  <a r="1">
    <v t="i">1</v>
  </a>
  <a r="1">
    <v>63.54</v>
  </a>
  <a r="1">
    <v>302.52999999999997</v>
  </a>
  <a r="1">
    <v>244.31</v>
  </a>
  <a r="1">
    <v>423.2</v>
  </a>
  <a r="1">
    <v>111.47</v>
  </a>
  <a r="6">
    <v t="r">10</v>
    <v t="r">11</v>
    <v t="r">12</v>
    <v t="r">13</v>
    <v t="r">14</v>
    <v t="i">2</v>
  </a>
</arrayData>
</file>

<file path=xl/richData/rdrichvalue.xml><?xml version="1.0" encoding="utf-8"?>
<rvData xmlns="http://schemas.microsoft.com/office/spreadsheetml/2017/richdata" count="17">
  <rv s="0">
    <fb>244.31</fb>
    <v>0</v>
  </rv>
  <rv s="0">
    <fb>423.2</fb>
    <v>0</v>
  </rv>
  <rv s="0">
    <fb>302.52999999999997</fb>
    <v>0</v>
  </rv>
  <rv s="0">
    <fb>63.54</fb>
    <v>0</v>
  </rv>
  <rv s="0">
    <fb>111.47</fb>
    <v>0</v>
  </rv>
  <rv s="1">
    <v>1</v>
    <v>CIBC GIC</v>
    <v>Weekly</v>
    <v>45662</v>
    <v>45668</v>
    <v>0</v>
    <v>1</v>
    <v>638720640000000000,638722271045458175,0</v>
    <v>0</v>
    <v>a1pw6h</v>
    <v>XNYS:CM</v>
    <v>1</v>
  </rv>
  <rv s="1">
    <v>1</v>
    <v>RBC GIC</v>
    <v>Weekly</v>
    <v>45662</v>
    <v>45668</v>
    <v>0</v>
    <v>1</v>
    <v>638720640000000000,638722271045411767,0</v>
    <v>0</v>
    <v>a226xm</v>
    <v>XNYS:RBC</v>
    <v>2</v>
  </rv>
  <rv s="1">
    <v>1</v>
    <v>AAPL</v>
    <v>Weekly</v>
    <v>45662</v>
    <v>45668</v>
    <v>0</v>
    <v>1</v>
    <v>638720640000000000,638722271045427471,0</v>
    <v>0</v>
    <v>a1mou2</v>
    <v>XNAS:AAPL</v>
    <v>3</v>
  </rv>
  <rv s="1">
    <v>1</v>
    <v>TSLA</v>
    <v>Weekly</v>
    <v>45662</v>
    <v>45668</v>
    <v>0</v>
    <v>1</v>
    <v>638720640000000000,638722271045352468,0</v>
    <v>0</v>
    <v>a24kar</v>
    <v>XNAS:TSLA</v>
    <v>4</v>
  </rv>
  <rv s="1">
    <v>1</v>
    <v>DIS</v>
    <v>Weekly</v>
    <v>45662</v>
    <v>45668</v>
    <v>0</v>
    <v>1</v>
    <v>638720640000000000,638722271045378371,0</v>
    <v>0</v>
    <v>a1r2z2</v>
    <v>XNYS:DIS</v>
    <v>5</v>
  </rv>
  <rv s="0">
    <fb>231.46</fb>
    <v>0</v>
  </rv>
  <rv s="0">
    <fb>360.14</fb>
    <v>0</v>
  </rv>
  <rv s="0">
    <fb>338.84</fb>
    <v>0</v>
  </rv>
  <rv s="0">
    <fb>65.540000000000006</fb>
    <v>0</v>
  </rv>
  <rv s="0">
    <fb>115.68</fb>
    <v>0</v>
  </rv>
  <rv s="2">
    <v>6</v>
  </rv>
  <rv s="3">
    <v>{AFE39529-732E-4B67-885E-25BA3A3BBFCE}</v>
    <v>0</v>
    <v>2</v>
    <v>15</v>
  </rv>
</rvData>
</file>

<file path=xl/richData/rdrichvaluestructure.xml><?xml version="1.0" encoding="utf-8"?>
<rvStructures xmlns="http://schemas.microsoft.com/office/spreadsheetml/2017/richdata" count="4">
  <s t="_formattednumber">
    <k n="_Format" t="spb"/>
  </s>
  <s t="_stockhistorycache">
    <k n="_Format" t="spb"/>
    <k n="Symbol" t="s"/>
    <k n="Interval" t="s"/>
    <k n="StartDate" t="i"/>
    <k n="EndDate" t="i"/>
    <k n="f1904" t="b"/>
    <k n="fdcompat" t="b"/>
    <k n="etag" t="s"/>
    <k n="Date" t="a"/>
    <k n="EntityId" t="s"/>
    <k n="Instrument" t="s"/>
    <k n="Open" t="a"/>
  </s>
  <s t="_array">
    <k n="array" t="a"/>
  </s>
  <s t="_datasourcecontainer">
    <k n="%XLUID" t="s"/>
    <k n="_CRID" t="i"/>
    <k n="_Display" t="spb"/>
    <k n="Current Market Price" t="r"/>
  </s>
</rvStructures>
</file>

<file path=xl/richData/rdsupportingpropertybag.xml><?xml version="1.0" encoding="utf-8"?>
<supportingPropertyBags xmlns="http://schemas.microsoft.com/office/spreadsheetml/2017/richdata2">
  <spbArrays count="1">
    <a count="4">
      <v t="s">Current Market Price</v>
      <v t="s">_CRID</v>
      <v t="s">%XLUID</v>
      <v t="s">_Display</v>
    </a>
  </spbArrays>
  <spbData count="3">
    <spb s="0">
      <v>1</v>
    </spb>
    <spb s="1">
      <v>2</v>
      <v>1</v>
    </spb>
    <spb s="2">
      <v>0</v>
    </spb>
  </spbData>
</supportingPropertyBags>
</file>

<file path=xl/richData/rdsupportingpropertybagstructure.xml><?xml version="1.0" encoding="utf-8"?>
<spbStructures xmlns="http://schemas.microsoft.com/office/spreadsheetml/2017/richdata2" count="3">
  <s>
    <k n="_Self" t="i"/>
  </s>
  <s>
    <k n="Date" t="i"/>
    <k n="Open" t="i"/>
  </s>
  <s>
    <k n="^Order" t="spba"/>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yyyy/mm/dd"/>
    </x:dxf>
    <x:dxf>
      <x:numFmt numFmtId="0" formatCode="General"/>
    </x:dxf>
  </dxfs>
  <richProperties>
    <rPr n="NumberFormat" t="s"/>
  </richProperties>
  <richStyles>
    <rSty dxfid="1">
      <rpv i="0">_([$$-en-US]* #,##0.00_);_([$$-en-US]* (#,##0.00);_([$$-en-US]* "-"??_);_(@_)</rpv>
    </rSty>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Type" xr10:uid="{4FA07507-6744-42D2-B495-E2A98DE884B0}" sourceName="Asset Type">
  <pivotTables>
    <pivotTable tabId="12" name="PivotTable5"/>
  </pivotTables>
  <data>
    <tabular pivotCacheId="1733181359">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Level" xr10:uid="{AB1FA9D7-8ADB-452E-986F-03CD3EEC420F}" sourceName="Risk Level">
  <pivotTables>
    <pivotTable tabId="12" name="PivotTable5"/>
  </pivotTables>
  <data>
    <tabular pivotCacheId="1733181359">
      <items count="5">
        <i x="3" s="1"/>
        <i x="2" s="1"/>
        <i x="0" s="1"/>
        <i x="4"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___Industry" xr10:uid="{AE5D9357-10D2-4527-82F7-857BA8C07AE4}" sourceName="Sector / Industry">
  <pivotTables>
    <pivotTable tabId="12" name="PivotTable5"/>
  </pivotTables>
  <data>
    <tabular pivotCacheId="1733181359">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Level1" xr10:uid="{511D9934-E6C5-4FC2-91D7-8CB02650D612}" sourceName="Risk Level">
  <pivotTables>
    <pivotTable tabId="12" name="PivotTable7"/>
  </pivotTables>
  <data>
    <tabular pivotCacheId="1733181359">
      <items count="5">
        <i x="3" s="1"/>
        <i x="2" s="1"/>
        <i x="0" s="1"/>
        <i x="4"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___Industry1" xr10:uid="{A9D7BDC3-1CD2-42BC-95B2-E960601FC7A4}" sourceName="Sector / Industry">
  <pivotTables>
    <pivotTable tabId="12" name="PivotTable7"/>
  </pivotTables>
  <data>
    <tabular pivotCacheId="1733181359">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Type1" xr10:uid="{BD79F30E-A296-4DAC-8E29-A3CEEE4C5E6C}" sourceName="Asset Type">
  <pivotTables>
    <pivotTable tabId="12" name="PivotTable7"/>
  </pivotTables>
  <data>
    <tabular pivotCacheId="1733181359">
      <items count="3">
        <i x="1" s="1"/>
        <i x="2"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 xr10:uid="{F96CC7F5-511A-4FD9-A90F-AEEDB641EA66}" sourceName="Account">
  <pivotTables>
    <pivotTable tabId="12" name="PivotTable3"/>
  </pivotTables>
  <data>
    <tabular pivotCacheId="1598481812">
      <items count="4">
        <i x="2" s="1"/>
        <i x="3" s="1"/>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Used" xr10:uid="{926413E5-B808-417B-8C6B-536026F6EF41}" sourceName="Account Used">
  <pivotTables>
    <pivotTable tabId="12" name="PivotTable6"/>
  </pivotTables>
  <data>
    <tabular pivotCacheId="2093304028">
      <items count="4">
        <i x="2" s="1"/>
        <i x="3" s="1"/>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3667253-4B33-4342-807A-8CA81CDA9CD2}" sourceName="Category ">
  <pivotTables>
    <pivotTable tabId="12" name="PivotTable6"/>
  </pivotTables>
  <data>
    <tabular pivotCacheId="2093304028">
      <items count="3">
        <i x="1" s="1"/>
        <i x="0" s="1"/>
        <i x="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891FD83C-82CA-4C9A-84FF-B6112B7C22B9}" sourceName="Category">
  <pivotTables>
    <pivotTable tabId="12" name="PivotTable2"/>
  </pivotTables>
  <data>
    <tabular pivotCacheId="871532506">
      <items count="3">
        <i x="1" s="1"/>
        <i x="0" s="1"/>
        <i x="2"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D9A00EA6-FFB6-4E33-BBF7-86D62AC8EE0D}" sourceName="Source">
  <pivotTables>
    <pivotTable tabId="12" name="PivotTable2"/>
  </pivotTables>
  <data>
    <tabular pivotCacheId="871532506">
      <items count="6">
        <i x="4" s="1"/>
        <i x="5" s="1"/>
        <i x="3" s="1"/>
        <i x="1" s="1"/>
        <i x="0" s="1"/>
        <i x="2"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CA93592A-8C79-4CDD-BE58-5B22E0313A6A}" sourceName="Category">
  <pivotTables>
    <pivotTable tabId="12" name="PivotTable1"/>
  </pivotTables>
  <data>
    <tabular pivotCacheId="871532506">
      <items count="3">
        <i x="1" s="1"/>
        <i x="0" s="1"/>
        <i x="2"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81EE248B-380E-4AAB-A40F-4298A53A2457}" sourceName="Months (Date)">
  <pivotTables>
    <pivotTable tabId="12" name="PivotTable1"/>
  </pivotTables>
  <data>
    <tabular pivotCacheId="871532506">
      <items count="14">
        <i x="1" s="1"/>
        <i x="2" s="1"/>
        <i x="3" s="1"/>
        <i x="4" s="1"/>
        <i x="5" s="1"/>
        <i x="9" s="1"/>
        <i x="11" s="1"/>
        <i x="6" s="1" nd="1"/>
        <i x="7" s="1" nd="1"/>
        <i x="8" s="1" nd="1"/>
        <i x="10" s="1" nd="1"/>
        <i x="12" s="1" nd="1"/>
        <i x="0"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Deposited" xr10:uid="{D7F60895-073B-45B0-807A-D974A9AE0FBF}" sourceName="Account Deposited">
  <pivotTables>
    <pivotTable tabId="12" name="PivotTable1"/>
  </pivotTables>
  <data>
    <tabular pivotCacheId="871532506">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Type 1" xr10:uid="{8E8F9D52-3713-4E93-ADA7-8C889E1A928A}" cache="Slicer_Asset_Type" caption="Asset Type" rowHeight="234950"/>
  <slicer name="Risk Level 1" xr10:uid="{73B67295-13EE-4FC0-9591-A1CBE445C473}" cache="Slicer_Risk_Level" caption="Risk Level" rowHeight="234950"/>
  <slicer name="Sector / Industry 1" xr10:uid="{6E596BFB-D141-4F60-8EDD-00D6F17FB570}" cache="Slicer_Sector___Industry" caption="Sector / Industry" rowHeight="234950"/>
  <slicer name="Risk Level 2" xr10:uid="{D7D9B744-32CD-49D2-8492-E88C3B2B998D}" cache="Slicer_Risk_Level1" caption="Risk Level" rowHeight="234950"/>
  <slicer name="Sector / Industry 2" xr10:uid="{4093A122-18EC-4F3F-B8F8-3AA73ABAEB82}" cache="Slicer_Sector___Industry1" caption="Sector / Industry" rowHeight="234950"/>
  <slicer name="Asset Type" xr10:uid="{AE8551F8-D31F-40E8-B6EE-D88AD274312C}" cache="Slicer_Asset_Type1" caption="Asset Type" rowHeight="234950"/>
  <slicer name="Account 1" xr10:uid="{69F1E499-20D1-4F33-92BC-D6A942C4DFE9}" cache="Slicer_Account" caption="Account" rowHeight="234950"/>
  <slicer name="Account Used 1" xr10:uid="{961FE408-6769-4DF8-8F52-67717651F828}" cache="Slicer_Account_Used" caption="Account Used" rowHeight="234950"/>
  <slicer name="Category  1" xr10:uid="{AE71AE71-103A-4170-B937-C7F41ACFE311}" cache="Slicer_Category" caption="Category " rowHeight="234950"/>
  <slicer name="Category 1" xr10:uid="{DB1941FB-7CE5-4F9A-AA52-EF18E3C7EBE7}" cache="Slicer_Category1" caption="Category" rowHeight="234950"/>
  <slicer name="Source 1" xr10:uid="{A4B281FB-EBAC-4928-A325-A971E850C008}" cache="Slicer_Source" caption="Source" rowHeight="234950"/>
  <slicer name="Category 2" xr10:uid="{A082611F-469B-4F5B-8F01-D79B8D4B348D}" cache="Slicer_Category2" caption="Category" rowHeight="234950"/>
  <slicer name="Months (Date) 1" xr10:uid="{16886A5F-1FF5-4063-BA50-F96F77AE50EB}" cache="Slicer_Months__Date" caption="Months (Date)" rowHeight="234950"/>
  <slicer name="Account Deposited" xr10:uid="{74A9D8CA-E874-4647-87BE-70EAC59AE048}" cache="Slicer_Account_Deposited" caption="Account Deposited"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25E821-75A9-421D-8B7F-02E6E1F81E53}" name="Table2" displayName="Table2" ref="A5:A9" totalsRowShown="0" headerRowDxfId="22" tableBorderDxfId="21">
  <autoFilter ref="A5:A9" xr:uid="{0325E821-75A9-421D-8B7F-02E6E1F81E53}"/>
  <tableColumns count="1">
    <tableColumn id="1" xr3:uid="{3F7A0DA1-E9DC-48B5-AD2F-B2D7195CD4A8}" name="Accounts"/>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A98E748-8635-440A-A6C8-2738D9763AB0}" name="Table4" displayName="Table4" ref="C5:G19" totalsRowShown="0" headerRowDxfId="20" tableBorderDxfId="19">
  <autoFilter ref="C5:G19" xr:uid="{EA98E748-8635-440A-A6C8-2738D9763AB0}"/>
  <tableColumns count="5">
    <tableColumn id="1" xr3:uid="{D4D60D56-B12A-4ADB-AF3D-B4221F6F906F}" name="Date" dataDxfId="18"/>
    <tableColumn id="2" xr3:uid="{7074FCA4-24FC-4E66-8B9C-034D07B1A0C4}" name="Account Deposited"/>
    <tableColumn id="3" xr3:uid="{B2C4B27D-7327-4906-8517-A4D7FD7807F3}" name="Income Amount ($)" dataCellStyle="Currency"/>
    <tableColumn id="4" xr3:uid="{9053945F-A58D-4442-8AB1-1D4B5C838108}" name="Category"/>
    <tableColumn id="5" xr3:uid="{EF4842D4-61AF-404F-89AF-6EE0AD6D6184}" name="Source"/>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DF7B2F4-B699-42D9-8B51-142845F93A8C}" name="Table5" displayName="Table5" ref="I5:L19" totalsRowShown="0" headerRowDxfId="17" tableBorderDxfId="16">
  <autoFilter ref="I5:L19" xr:uid="{EDF7B2F4-B699-42D9-8B51-142845F93A8C}"/>
  <tableColumns count="4">
    <tableColumn id="1" xr3:uid="{4C53A87D-A927-41AC-B88A-53B0C433207B}" name="Account Used"/>
    <tableColumn id="2" xr3:uid="{78B86F00-75C5-43E0-B786-EA5D7FCE96AB}" name="Date" dataDxfId="15"/>
    <tableColumn id="3" xr3:uid="{C6A8C8E5-23E2-4C96-9571-EA535636A073}" name="Amount Spent ($)" dataCellStyle="Currency"/>
    <tableColumn id="4" xr3:uid="{F82E94A6-4414-4B61-B4BA-36C92F1665FA}" name="Category "/>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515F5E8-205F-4D53-9AA5-14932074CB44}" name="Table8" displayName="Table8" ref="B2:M7" totalsRowShown="0" headerRowDxfId="14">
  <autoFilter ref="B2:M7" xr:uid="{D515F5E8-205F-4D53-9AA5-14932074CB44}"/>
  <tableColumns count="12">
    <tableColumn id="1" xr3:uid="{378E39B7-D607-4C02-B838-574C3853BF9F}" name="Investment Name"/>
    <tableColumn id="2" xr3:uid="{977EFE6E-861F-4A39-A2E8-645506D4E867}" name="Asset Type"/>
    <tableColumn id="3" xr3:uid="{393FD5B5-97E3-480E-AE82-6DDBD2F8EA51}" name="Purchase Date"/>
    <tableColumn id="4" xr3:uid="{7C079B50-DC82-41A9-84C7-4F55DF8C3ADA}" name="Number of Units"/>
    <tableColumn id="5" xr3:uid="{B5BDC599-C6B3-489F-B337-4DA45CD31A23}" name="Purchase Price" totalsRowDxfId="13" dataCellStyle="Currency"/>
    <tableColumn id="6" xr3:uid="{E0001E7C-C22C-4DB3-8983-8990FA4B2B76}" name="Total Cost" totalsRowDxfId="12" dataCellStyle="Currency">
      <calculatedColumnFormula>Table8[[#This Row],[Number of Units]]*Table8[[#This Row],[Purchase Price]]</calculatedColumnFormula>
    </tableColumn>
    <tableColumn id="7" xr3:uid="{D2B32033-8A0D-4D75-9486-E1156E96882C}" name="Current Market Price" dataDxfId="11">
      <calculatedColumnFormula array="1">_xlfn.STOCKHISTORY(B3, TODAY()-1, TODAY(), 1, 0, 2)</calculatedColumnFormula>
    </tableColumn>
    <tableColumn id="8" xr3:uid="{837247A0-B36C-4820-AA20-1276AFC15BCD}" name="Current Value of Investment" dataDxfId="10">
      <calculatedColumnFormula>Table8[[#This Row],[Number of Units]]*Table8[[#This Row],[Current Market Price]]</calculatedColumnFormula>
    </tableColumn>
    <tableColumn id="9" xr3:uid="{39512B6F-A921-4CF8-82DE-AD5E5DB10D29}" name="Risk Level"/>
    <tableColumn id="10" xr3:uid="{F864F7D8-6EE9-4987-B836-279FFC0DBD42}" name="Investment Account"/>
    <tableColumn id="12" xr3:uid="{0EE91BC5-F5AE-4D96-A1C9-0CFD9BF04AFE}" name="Sector / Industry"/>
    <tableColumn id="13" xr3:uid="{031F25B3-F996-4BF4-873E-C53E9D941FC8}" name="ROI" dataDxfId="9" dataCellStyle="Percent">
      <calculatedColumnFormula>((Table8[[#This Row],[Current Value of Investment]]-Table8[[#This Row],[Total Cost]])/Table8[[#This Row],[Total Cost]])</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30AF251-F641-4FCD-9A23-38DAA52EF5D1}" name="Table6" displayName="Table6" ref="B2:G5" totalsRowShown="0" headerRowDxfId="8" tableBorderDxfId="7">
  <autoFilter ref="B2:G5" xr:uid="{630AF251-F641-4FCD-9A23-38DAA52EF5D1}"/>
  <tableColumns count="6">
    <tableColumn id="1" xr3:uid="{ADF252CD-2BA1-4BC5-BC1A-10974EE7BC86}" name="Goal Name"/>
    <tableColumn id="2" xr3:uid="{5CB5D890-5DC3-417E-8944-EA34165A3AC8}" name="Target Amount" dataDxfId="6" dataCellStyle="Currency"/>
    <tableColumn id="3" xr3:uid="{9B992804-2EDE-4DCD-8C2C-61F1CB7DD42A}" name="Current Amount" dataDxfId="5" dataCellStyle="Currency"/>
    <tableColumn id="4" xr3:uid="{6B229276-E6EF-4731-B682-B56DBFA139B2}" name="Start Date " dataDxfId="4"/>
    <tableColumn id="5" xr3:uid="{2F91973E-3A67-46B5-B755-EBA6D9C5D123}" name="Target Completion Date " dataDxfId="3"/>
    <tableColumn id="6" xr3:uid="{D66C2171-D9C8-46BE-BDAE-33C20C0F7B1A}" name="Progress %" dataDxfId="2" dataCellStyle="Percent"/>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3002C39-828C-4690-833B-FD55931DD8B2}" name="CombinedTable" displayName="CombinedTable" ref="A16:D44" totalsRowShown="0">
  <autoFilter ref="A16:D44" xr:uid="{B3002C39-828C-4690-833B-FD55931DD8B2}"/>
  <tableColumns count="4">
    <tableColumn id="1" xr3:uid="{5C21B0FF-B3A9-4D83-B828-FDCB185A2719}" name="Date" dataDxfId="1"/>
    <tableColumn id="2" xr3:uid="{44F0F7F3-9491-4B60-862E-7530DD9954BC}" name="Account"/>
    <tableColumn id="3" xr3:uid="{4AAB7C23-9F9D-4E7D-BE78-BCBEBE9D1C66}" name="Amount" dataDxfId="0"/>
    <tableColumn id="4" xr3:uid="{7AB3F692-E16E-43C1-A7F1-CD273976441C}" name="Typ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table" Target="../tables/table6.xml"/><Relationship Id="rId4" Type="http://schemas.openxmlformats.org/officeDocument/2006/relationships/pivotTable" Target="../pivotTables/pivotTable4.xml"/><Relationship Id="rId9"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030BD-3AEF-4DE7-8549-541C70FE6331}">
  <sheetPr codeName="Sheet10"/>
  <dimension ref="A1:T11"/>
  <sheetViews>
    <sheetView zoomScale="47" zoomScaleNormal="40" workbookViewId="0">
      <selection activeCell="AH64" sqref="AH64"/>
    </sheetView>
  </sheetViews>
  <sheetFormatPr defaultRowHeight="14.4" x14ac:dyDescent="0.3"/>
  <cols>
    <col min="1" max="1" width="4.33203125" style="45" customWidth="1"/>
    <col min="2" max="16384" width="8.88671875" style="45"/>
  </cols>
  <sheetData>
    <row r="1" spans="1:20" s="1" customFormat="1" ht="60.6" customHeight="1" x14ac:dyDescent="0.3">
      <c r="A1" s="50" t="s">
        <v>69</v>
      </c>
      <c r="B1" s="50"/>
      <c r="C1" s="50"/>
      <c r="D1" s="50"/>
      <c r="E1" s="50"/>
      <c r="F1" s="50"/>
      <c r="G1" s="50"/>
      <c r="H1" s="50"/>
      <c r="I1" s="50"/>
      <c r="J1" s="50"/>
      <c r="K1" s="50"/>
      <c r="L1" s="50"/>
      <c r="M1" s="50"/>
      <c r="N1" s="50"/>
      <c r="O1" s="50"/>
      <c r="P1" s="50"/>
      <c r="Q1" s="50"/>
      <c r="R1" s="50"/>
      <c r="S1" s="50"/>
      <c r="T1" s="50"/>
    </row>
    <row r="2" spans="1:20" ht="9" customHeight="1" thickBot="1" x14ac:dyDescent="0.35">
      <c r="A2" s="44"/>
      <c r="B2" s="44"/>
      <c r="C2" s="44"/>
      <c r="D2" s="44"/>
      <c r="E2" s="44"/>
      <c r="F2" s="44"/>
      <c r="G2" s="44"/>
      <c r="H2" s="44"/>
      <c r="I2" s="44"/>
      <c r="J2" s="44"/>
      <c r="K2" s="44"/>
      <c r="L2" s="44"/>
      <c r="M2" s="44"/>
      <c r="N2" s="44"/>
    </row>
    <row r="3" spans="1:20" ht="37.200000000000003" customHeight="1" x14ac:dyDescent="0.5">
      <c r="A3" s="44"/>
      <c r="B3" s="51" t="s">
        <v>65</v>
      </c>
      <c r="C3" s="52"/>
      <c r="D3" s="52"/>
      <c r="E3" s="52"/>
      <c r="F3" s="53"/>
      <c r="G3" s="46"/>
      <c r="H3" s="46"/>
      <c r="I3" s="46"/>
      <c r="J3" s="44"/>
      <c r="K3" s="44"/>
      <c r="L3" s="44"/>
      <c r="M3" s="44"/>
      <c r="N3" s="44"/>
    </row>
    <row r="4" spans="1:20" ht="29.4" customHeight="1" x14ac:dyDescent="0.3">
      <c r="B4" s="54" t="s">
        <v>66</v>
      </c>
      <c r="C4" s="55"/>
      <c r="D4" s="55"/>
      <c r="E4" s="55"/>
      <c r="F4" s="56"/>
    </row>
    <row r="5" spans="1:20" ht="28.2" customHeight="1" x14ac:dyDescent="0.3">
      <c r="B5" s="54" t="s">
        <v>67</v>
      </c>
      <c r="C5" s="55"/>
      <c r="D5" s="55"/>
      <c r="E5" s="55"/>
      <c r="F5" s="56"/>
    </row>
    <row r="6" spans="1:20" ht="29.4" customHeight="1" x14ac:dyDescent="0.3">
      <c r="B6" s="57" t="s">
        <v>68</v>
      </c>
      <c r="C6" s="58"/>
      <c r="D6" s="58"/>
      <c r="E6" s="58"/>
      <c r="F6" s="59"/>
    </row>
    <row r="7" spans="1:20" ht="30.6" customHeight="1" thickBot="1" x14ac:dyDescent="0.35">
      <c r="B7" s="47" t="s">
        <v>70</v>
      </c>
      <c r="C7" s="48"/>
      <c r="D7" s="48"/>
      <c r="E7" s="48"/>
      <c r="F7" s="49"/>
    </row>
    <row r="11" spans="1:20" x14ac:dyDescent="0.3">
      <c r="O11" s="45" t="s">
        <v>107</v>
      </c>
    </row>
  </sheetData>
  <mergeCells count="6">
    <mergeCell ref="B7:F7"/>
    <mergeCell ref="A1:T1"/>
    <mergeCell ref="B3:F3"/>
    <mergeCell ref="B4:F4"/>
    <mergeCell ref="B5:F5"/>
    <mergeCell ref="B6:F6"/>
  </mergeCells>
  <hyperlinks>
    <hyperlink ref="B3:F3" location="'Income &amp; Expenses Tracker'!A1" display="Income &amp; Expenses Tracker " xr:uid="{0FD3D41C-69B9-4CEE-9987-43859FCF5582}"/>
    <hyperlink ref="B4:F4" location="'Investments Tracker'!A1" display="Investments Tracker" xr:uid="{B85F047D-139D-4BED-B62F-A53A7E03CCBA}"/>
    <hyperlink ref="B5:F5" location="Goals!A1" display="Goals" xr:uid="{A8C0B7B2-4469-49A7-B180-C1D77A3F7880}"/>
    <hyperlink ref="B6:F6" location="'Financial Advice'!A1" display="Financial Advice " xr:uid="{92673C14-F8F6-4D27-9D80-10037127F3ED}"/>
    <hyperlink ref="B7:F7" location="'Financial Filter'!A1" display="Financial Filter" xr:uid="{334BF0B0-C125-41CE-90EE-23EF6DA7D4F4}"/>
  </hyperlink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241CF-F05F-45F7-988E-B60B42785558}">
  <sheetPr codeName="Sheet7"/>
  <dimension ref="A1:T19"/>
  <sheetViews>
    <sheetView zoomScale="78" zoomScaleNormal="98" workbookViewId="0">
      <selection activeCell="F27" sqref="F27"/>
    </sheetView>
  </sheetViews>
  <sheetFormatPr defaultRowHeight="14.4" x14ac:dyDescent="0.3"/>
  <cols>
    <col min="1" max="1" width="24.77734375" customWidth="1"/>
    <col min="2" max="2" width="18.5546875" customWidth="1"/>
    <col min="3" max="3" width="14.109375" customWidth="1"/>
    <col min="4" max="5" width="19.109375" customWidth="1"/>
    <col min="6" max="6" width="10.5546875" customWidth="1"/>
    <col min="7" max="7" width="12.44140625" customWidth="1"/>
    <col min="8" max="8" width="9" customWidth="1"/>
    <col min="9" max="9" width="18.109375" customWidth="1"/>
    <col min="10" max="10" width="15.109375" customWidth="1"/>
    <col min="11" max="11" width="17.77734375" customWidth="1"/>
    <col min="12" max="12" width="11.88671875" customWidth="1"/>
    <col min="14" max="14" width="27.88671875" customWidth="1"/>
    <col min="15" max="15" width="26.77734375" customWidth="1"/>
    <col min="16" max="16" width="8.88671875" customWidth="1"/>
    <col min="17" max="17" width="20.6640625" customWidth="1"/>
    <col min="18" max="18" width="21.77734375" customWidth="1"/>
    <col min="20" max="20" width="14.44140625" customWidth="1"/>
  </cols>
  <sheetData>
    <row r="1" spans="1:20" s="1" customFormat="1" ht="14.4" customHeight="1" x14ac:dyDescent="0.3">
      <c r="A1" s="7"/>
      <c r="B1" s="26"/>
      <c r="C1" s="61" t="s">
        <v>5</v>
      </c>
      <c r="D1" s="61"/>
      <c r="E1" s="61"/>
      <c r="F1" s="61"/>
      <c r="G1" s="61"/>
      <c r="H1" s="61"/>
      <c r="I1" s="61"/>
      <c r="J1" s="61"/>
      <c r="K1" s="61"/>
      <c r="L1" s="26"/>
    </row>
    <row r="2" spans="1:20" s="1" customFormat="1" ht="14.4" customHeight="1" x14ac:dyDescent="0.3">
      <c r="A2" s="7"/>
      <c r="B2" s="26"/>
      <c r="C2" s="61"/>
      <c r="D2" s="61"/>
      <c r="E2" s="61"/>
      <c r="F2" s="61"/>
      <c r="G2" s="61"/>
      <c r="H2" s="61"/>
      <c r="I2" s="61"/>
      <c r="J2" s="61"/>
      <c r="K2" s="61"/>
      <c r="L2" s="26"/>
    </row>
    <row r="3" spans="1:20" s="1" customFormat="1" ht="14.4" customHeight="1" x14ac:dyDescent="0.3">
      <c r="A3" s="7"/>
      <c r="B3" s="26"/>
      <c r="C3" s="61"/>
      <c r="D3" s="61"/>
      <c r="E3" s="61"/>
      <c r="F3" s="61"/>
      <c r="G3" s="61"/>
      <c r="H3" s="61"/>
      <c r="I3" s="61"/>
      <c r="J3" s="61"/>
      <c r="K3" s="61"/>
      <c r="L3" s="26"/>
    </row>
    <row r="4" spans="1:20" s="2" customFormat="1" ht="23.4" customHeight="1" x14ac:dyDescent="0.4">
      <c r="B4" s="5"/>
      <c r="C4" s="60" t="s">
        <v>8</v>
      </c>
      <c r="D4" s="60"/>
      <c r="E4" s="60"/>
      <c r="F4" s="60"/>
      <c r="G4" s="60"/>
      <c r="H4" s="27"/>
      <c r="I4" s="62" t="s">
        <v>9</v>
      </c>
      <c r="J4" s="62"/>
      <c r="K4" s="62"/>
      <c r="L4" s="62"/>
      <c r="M4" s="28"/>
      <c r="N4" s="29" t="s">
        <v>40</v>
      </c>
      <c r="O4" s="29" t="s">
        <v>37</v>
      </c>
      <c r="P4" s="30"/>
      <c r="Q4" s="63" t="s">
        <v>56</v>
      </c>
      <c r="R4" s="63"/>
      <c r="S4" s="31"/>
      <c r="T4" s="28"/>
    </row>
    <row r="5" spans="1:20" ht="21" customHeight="1" x14ac:dyDescent="0.35">
      <c r="A5" s="16" t="s">
        <v>31</v>
      </c>
      <c r="C5" s="14" t="s">
        <v>0</v>
      </c>
      <c r="D5" s="10" t="s">
        <v>13</v>
      </c>
      <c r="E5" s="10" t="s">
        <v>7</v>
      </c>
      <c r="F5" s="10" t="s">
        <v>1</v>
      </c>
      <c r="G5" s="11" t="s">
        <v>12</v>
      </c>
      <c r="H5" s="17"/>
      <c r="I5" s="14" t="s">
        <v>30</v>
      </c>
      <c r="J5" s="10" t="s">
        <v>0</v>
      </c>
      <c r="K5" s="10" t="s">
        <v>10</v>
      </c>
      <c r="L5" s="11" t="s">
        <v>11</v>
      </c>
      <c r="N5" t="s">
        <v>41</v>
      </c>
      <c r="O5" t="s">
        <v>38</v>
      </c>
      <c r="Q5" s="10" t="s">
        <v>32</v>
      </c>
      <c r="R5" s="10" t="s">
        <v>74</v>
      </c>
    </row>
    <row r="6" spans="1:20" x14ac:dyDescent="0.3">
      <c r="A6" t="s">
        <v>33</v>
      </c>
      <c r="C6" s="13">
        <v>44083</v>
      </c>
      <c r="D6" t="s">
        <v>36</v>
      </c>
      <c r="E6" s="25">
        <v>10</v>
      </c>
      <c r="F6" t="s">
        <v>41</v>
      </c>
      <c r="G6" t="s">
        <v>43</v>
      </c>
      <c r="I6" t="s">
        <v>34</v>
      </c>
      <c r="J6" s="13">
        <v>39700</v>
      </c>
      <c r="K6" s="25">
        <v>18</v>
      </c>
      <c r="L6" t="s">
        <v>44</v>
      </c>
      <c r="N6" t="s">
        <v>42</v>
      </c>
      <c r="O6" t="s">
        <v>39</v>
      </c>
      <c r="Q6" t="s">
        <v>36</v>
      </c>
      <c r="R6" s="25">
        <v>-170</v>
      </c>
    </row>
    <row r="7" spans="1:20" x14ac:dyDescent="0.3">
      <c r="A7" t="s">
        <v>34</v>
      </c>
      <c r="C7" s="13">
        <v>44930</v>
      </c>
      <c r="D7" t="s">
        <v>34</v>
      </c>
      <c r="E7" s="25">
        <v>123</v>
      </c>
      <c r="F7" t="s">
        <v>42</v>
      </c>
      <c r="G7" t="s">
        <v>45</v>
      </c>
      <c r="I7" t="s">
        <v>36</v>
      </c>
      <c r="J7" s="13">
        <v>45556</v>
      </c>
      <c r="K7" s="25">
        <v>80</v>
      </c>
      <c r="L7" t="s">
        <v>39</v>
      </c>
      <c r="O7" t="s">
        <v>44</v>
      </c>
      <c r="Q7" t="s">
        <v>34</v>
      </c>
      <c r="R7" s="25">
        <v>285</v>
      </c>
    </row>
    <row r="8" spans="1:20" x14ac:dyDescent="0.3">
      <c r="A8" t="s">
        <v>35</v>
      </c>
      <c r="C8" s="13">
        <v>44930</v>
      </c>
      <c r="D8" t="s">
        <v>33</v>
      </c>
      <c r="E8" s="25">
        <v>400</v>
      </c>
      <c r="F8" t="s">
        <v>42</v>
      </c>
      <c r="G8" t="s">
        <v>58</v>
      </c>
      <c r="I8" t="s">
        <v>33</v>
      </c>
      <c r="J8" s="13">
        <v>45555</v>
      </c>
      <c r="K8" s="25">
        <v>32</v>
      </c>
      <c r="L8" t="s">
        <v>44</v>
      </c>
      <c r="Q8" t="s">
        <v>33</v>
      </c>
      <c r="R8" s="25">
        <v>2248</v>
      </c>
    </row>
    <row r="9" spans="1:20" x14ac:dyDescent="0.3">
      <c r="A9" t="s">
        <v>36</v>
      </c>
      <c r="C9" s="13">
        <v>44931</v>
      </c>
      <c r="D9" t="s">
        <v>33</v>
      </c>
      <c r="E9" s="25">
        <v>500</v>
      </c>
      <c r="F9" t="s">
        <v>41</v>
      </c>
      <c r="G9" t="s">
        <v>61</v>
      </c>
      <c r="I9" s="20" t="s">
        <v>35</v>
      </c>
      <c r="J9" s="13">
        <v>45573</v>
      </c>
      <c r="K9" s="25">
        <v>44</v>
      </c>
      <c r="L9" t="s">
        <v>39</v>
      </c>
      <c r="Q9" t="s">
        <v>35</v>
      </c>
      <c r="R9" s="25">
        <v>-354</v>
      </c>
    </row>
    <row r="10" spans="1:20" ht="18" x14ac:dyDescent="0.35">
      <c r="A10" s="15"/>
      <c r="C10" s="13">
        <v>44963</v>
      </c>
      <c r="D10" t="s">
        <v>33</v>
      </c>
      <c r="E10" s="25">
        <v>70</v>
      </c>
      <c r="F10" t="s">
        <v>42</v>
      </c>
      <c r="G10" t="s">
        <v>46</v>
      </c>
      <c r="I10" s="20" t="s">
        <v>33</v>
      </c>
      <c r="J10" s="13">
        <v>45573</v>
      </c>
      <c r="K10" s="25">
        <v>90</v>
      </c>
      <c r="L10" t="s">
        <v>38</v>
      </c>
      <c r="R10" s="25"/>
    </row>
    <row r="11" spans="1:20" x14ac:dyDescent="0.3">
      <c r="C11" s="13">
        <v>44992</v>
      </c>
      <c r="D11" t="s">
        <v>33</v>
      </c>
      <c r="E11" s="25">
        <v>200</v>
      </c>
      <c r="F11" t="s">
        <v>41</v>
      </c>
      <c r="G11" t="s">
        <v>61</v>
      </c>
      <c r="I11" s="20" t="s">
        <v>35</v>
      </c>
      <c r="J11" s="13">
        <v>45575</v>
      </c>
      <c r="K11" s="25">
        <v>80</v>
      </c>
      <c r="L11" t="s">
        <v>44</v>
      </c>
    </row>
    <row r="12" spans="1:20" x14ac:dyDescent="0.3">
      <c r="C12" s="13">
        <v>44993</v>
      </c>
      <c r="D12" t="s">
        <v>33</v>
      </c>
      <c r="E12" s="25">
        <v>300</v>
      </c>
      <c r="F12" t="s">
        <v>41</v>
      </c>
      <c r="G12" s="19" t="s">
        <v>43</v>
      </c>
      <c r="I12" s="20" t="s">
        <v>35</v>
      </c>
      <c r="J12" s="13">
        <v>45573</v>
      </c>
      <c r="K12" s="25">
        <v>90</v>
      </c>
      <c r="L12" t="s">
        <v>39</v>
      </c>
    </row>
    <row r="13" spans="1:20" ht="18" x14ac:dyDescent="0.35">
      <c r="A13" s="15"/>
      <c r="C13" s="13">
        <v>45025</v>
      </c>
      <c r="D13" t="s">
        <v>33</v>
      </c>
      <c r="E13" s="25">
        <v>500</v>
      </c>
      <c r="F13" t="s">
        <v>41</v>
      </c>
      <c r="G13" t="s">
        <v>61</v>
      </c>
      <c r="I13" s="21" t="s">
        <v>36</v>
      </c>
      <c r="J13" s="13">
        <v>45574</v>
      </c>
      <c r="K13" s="25">
        <v>80</v>
      </c>
      <c r="L13" t="s">
        <v>39</v>
      </c>
    </row>
    <row r="14" spans="1:20" x14ac:dyDescent="0.3">
      <c r="C14" s="13">
        <v>45026</v>
      </c>
      <c r="D14" t="s">
        <v>33</v>
      </c>
      <c r="E14" s="25">
        <v>300</v>
      </c>
      <c r="F14" t="s">
        <v>41</v>
      </c>
      <c r="G14" s="19" t="s">
        <v>43</v>
      </c>
      <c r="I14" s="21" t="s">
        <v>36</v>
      </c>
      <c r="J14" s="13">
        <v>45575</v>
      </c>
      <c r="K14" s="25">
        <v>20</v>
      </c>
      <c r="L14" t="s">
        <v>38</v>
      </c>
    </row>
    <row r="15" spans="1:20" x14ac:dyDescent="0.3">
      <c r="C15" s="13">
        <v>45057</v>
      </c>
      <c r="D15" t="s">
        <v>33</v>
      </c>
      <c r="E15" s="25">
        <v>80</v>
      </c>
      <c r="F15" t="s">
        <v>42</v>
      </c>
      <c r="G15" t="s">
        <v>46</v>
      </c>
      <c r="I15" s="20" t="s">
        <v>35</v>
      </c>
      <c r="J15" s="13">
        <v>45576</v>
      </c>
      <c r="K15" s="25">
        <v>30</v>
      </c>
      <c r="L15" t="s">
        <v>38</v>
      </c>
    </row>
    <row r="16" spans="1:20" x14ac:dyDescent="0.3">
      <c r="C16" s="13">
        <v>45058</v>
      </c>
      <c r="D16" t="s">
        <v>33</v>
      </c>
      <c r="E16" s="25">
        <v>100</v>
      </c>
      <c r="F16" t="s">
        <v>42</v>
      </c>
      <c r="G16" t="s">
        <v>46</v>
      </c>
      <c r="I16" s="20" t="s">
        <v>35</v>
      </c>
      <c r="J16" s="13">
        <v>45577</v>
      </c>
      <c r="K16" s="25">
        <v>10</v>
      </c>
      <c r="L16" t="s">
        <v>39</v>
      </c>
    </row>
    <row r="17" spans="3:12" x14ac:dyDescent="0.3">
      <c r="C17" s="13">
        <v>45616</v>
      </c>
      <c r="D17" t="s">
        <v>34</v>
      </c>
      <c r="E17" s="25">
        <v>90</v>
      </c>
      <c r="F17" t="s">
        <v>41</v>
      </c>
      <c r="G17" t="s">
        <v>72</v>
      </c>
      <c r="I17" t="s">
        <v>33</v>
      </c>
      <c r="J17" s="13">
        <v>45619</v>
      </c>
      <c r="K17" s="25">
        <v>80</v>
      </c>
      <c r="L17" t="s">
        <v>39</v>
      </c>
    </row>
    <row r="18" spans="3:12" x14ac:dyDescent="0.3">
      <c r="C18" s="13">
        <v>45607</v>
      </c>
      <c r="D18" t="s">
        <v>34</v>
      </c>
      <c r="E18" s="25">
        <v>90</v>
      </c>
      <c r="F18" t="s">
        <v>41</v>
      </c>
      <c r="G18" t="s">
        <v>45</v>
      </c>
      <c r="I18" t="s">
        <v>35</v>
      </c>
      <c r="J18" s="13">
        <v>45544</v>
      </c>
      <c r="K18" s="25">
        <v>100</v>
      </c>
      <c r="L18" t="s">
        <v>39</v>
      </c>
    </row>
    <row r="19" spans="3:12" x14ac:dyDescent="0.3">
      <c r="C19" s="13">
        <v>45607</v>
      </c>
      <c r="D19" t="s">
        <v>35</v>
      </c>
      <c r="E19" s="25">
        <v>300</v>
      </c>
      <c r="F19" t="s">
        <v>108</v>
      </c>
      <c r="G19" t="s">
        <v>33</v>
      </c>
      <c r="I19" t="s">
        <v>36</v>
      </c>
      <c r="J19" s="13">
        <v>45574</v>
      </c>
      <c r="K19" s="25">
        <v>20</v>
      </c>
      <c r="L19" t="s">
        <v>38</v>
      </c>
    </row>
  </sheetData>
  <mergeCells count="4">
    <mergeCell ref="C4:G4"/>
    <mergeCell ref="C1:K3"/>
    <mergeCell ref="I4:L4"/>
    <mergeCell ref="Q4:R4"/>
  </mergeCells>
  <pageMargins left="0.7" right="0.7" top="0.75" bottom="0.75" header="0.3" footer="0.3"/>
  <drawing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3E758-D605-4A9F-B2A8-7C6CC4365453}">
  <sheetPr codeName="Sheet5"/>
  <dimension ref="A1:R8"/>
  <sheetViews>
    <sheetView zoomScale="91" zoomScaleNormal="70" workbookViewId="0">
      <selection activeCell="H3" sqref="H3"/>
    </sheetView>
  </sheetViews>
  <sheetFormatPr defaultRowHeight="14.4" x14ac:dyDescent="0.3"/>
  <cols>
    <col min="2" max="2" width="27.44140625" customWidth="1"/>
    <col min="3" max="3" width="14.88671875" customWidth="1"/>
    <col min="4" max="4" width="20.5546875" customWidth="1"/>
    <col min="5" max="5" width="19" customWidth="1"/>
    <col min="6" max="6" width="20.44140625" customWidth="1"/>
    <col min="7" max="7" width="16.109375" customWidth="1"/>
    <col min="8" max="8" width="25.109375" customWidth="1"/>
    <col min="9" max="9" width="17.44140625" bestFit="1" customWidth="1"/>
    <col min="10" max="10" width="10.44140625" bestFit="1" customWidth="1"/>
    <col min="11" max="11" width="8.21875" bestFit="1" customWidth="1"/>
    <col min="12" max="12" width="17.44140625" bestFit="1" customWidth="1"/>
    <col min="13" max="13" width="19.88671875" bestFit="1" customWidth="1"/>
    <col min="14" max="14" width="25.44140625" bestFit="1" customWidth="1"/>
    <col min="15" max="15" width="10.77734375" bestFit="1" customWidth="1"/>
    <col min="16" max="16" width="32.109375" bestFit="1" customWidth="1"/>
    <col min="17" max="17" width="10.44140625" bestFit="1" customWidth="1"/>
    <col min="18" max="18" width="32.109375" bestFit="1" customWidth="1"/>
    <col min="19" max="19" width="10.44140625" bestFit="1" customWidth="1"/>
    <col min="20" max="20" width="36.77734375" bestFit="1" customWidth="1"/>
    <col min="21" max="21" width="15.21875" bestFit="1" customWidth="1"/>
    <col min="22" max="22" width="32.109375" bestFit="1" customWidth="1"/>
    <col min="23" max="23" width="19.88671875" bestFit="1" customWidth="1"/>
    <col min="24" max="24" width="10.44140625" bestFit="1" customWidth="1"/>
    <col min="25" max="25" width="36.77734375" bestFit="1" customWidth="1"/>
    <col min="26" max="26" width="24.6640625" bestFit="1" customWidth="1"/>
    <col min="27" max="27" width="15.21875" bestFit="1" customWidth="1"/>
  </cols>
  <sheetData>
    <row r="1" spans="1:18" s="1" customFormat="1" ht="42.6" customHeight="1" x14ac:dyDescent="0.3">
      <c r="A1" s="61" t="s">
        <v>4</v>
      </c>
      <c r="B1" s="61"/>
      <c r="C1" s="61"/>
      <c r="D1" s="61"/>
      <c r="E1" s="61"/>
      <c r="F1" s="61"/>
      <c r="G1" s="61"/>
      <c r="H1" s="61"/>
      <c r="I1" s="61"/>
      <c r="J1" s="61"/>
      <c r="K1" s="61"/>
      <c r="L1" s="61"/>
      <c r="M1" s="61"/>
      <c r="N1" s="22"/>
    </row>
    <row r="2" spans="1:18" s="2" customFormat="1" ht="24" customHeight="1" x14ac:dyDescent="0.35">
      <c r="A2" s="18"/>
      <c r="B2" s="18" t="s">
        <v>14</v>
      </c>
      <c r="C2" s="18" t="s">
        <v>15</v>
      </c>
      <c r="D2" s="18" t="s">
        <v>16</v>
      </c>
      <c r="E2" s="18" t="s">
        <v>17</v>
      </c>
      <c r="F2" s="18" t="s">
        <v>18</v>
      </c>
      <c r="G2" s="18" t="s">
        <v>19</v>
      </c>
      <c r="H2" s="18" t="s">
        <v>20</v>
      </c>
      <c r="I2" s="18" t="s">
        <v>94</v>
      </c>
      <c r="J2" s="18" t="s">
        <v>21</v>
      </c>
      <c r="K2" s="18" t="s">
        <v>22</v>
      </c>
      <c r="L2" s="18" t="s">
        <v>23</v>
      </c>
      <c r="M2" s="18" t="s">
        <v>24</v>
      </c>
      <c r="N2" s="18"/>
      <c r="P2" s="16" t="s">
        <v>15</v>
      </c>
      <c r="Q2" s="16" t="s">
        <v>22</v>
      </c>
      <c r="R2" s="16" t="s">
        <v>23</v>
      </c>
    </row>
    <row r="3" spans="1:18" ht="14.4" customHeight="1" x14ac:dyDescent="0.3">
      <c r="B3" t="s">
        <v>46</v>
      </c>
      <c r="C3" t="s">
        <v>47</v>
      </c>
      <c r="D3" s="13">
        <v>45544</v>
      </c>
      <c r="E3">
        <v>2</v>
      </c>
      <c r="F3" s="25">
        <v>50</v>
      </c>
      <c r="G3" s="25">
        <f>Table8[[#This Row],[Number of Units]]*Table8[[#This Row],[Purchase Price]]</f>
        <v>100</v>
      </c>
      <c r="H3" cm="1" vm="1">
        <f t="array" aca="1" ref="H3" ca="1">_xlfn.STOCKHISTORY(B3, TODAY()-1, TODAY(), 1, 0, 2)</f>
        <v>244.31</v>
      </c>
      <c r="I3">
        <f ca="1">Table8[[#This Row],[Number of Units]]*Table8[[#This Row],[Current Market Price]]</f>
        <v>488.62</v>
      </c>
      <c r="J3">
        <v>4</v>
      </c>
      <c r="K3" t="s">
        <v>54</v>
      </c>
      <c r="L3" t="s">
        <v>49</v>
      </c>
      <c r="M3" s="24">
        <f ca="1">((Table8[[#This Row],[Current Value of Investment]]-Table8[[#This Row],[Total Cost]])/Table8[[#This Row],[Total Cost]])</f>
        <v>3.8862000000000001</v>
      </c>
      <c r="P3" t="s">
        <v>47</v>
      </c>
      <c r="Q3" t="s">
        <v>48</v>
      </c>
      <c r="R3" t="s">
        <v>49</v>
      </c>
    </row>
    <row r="4" spans="1:18" x14ac:dyDescent="0.3">
      <c r="B4" t="s">
        <v>58</v>
      </c>
      <c r="C4" t="s">
        <v>47</v>
      </c>
      <c r="D4" s="13">
        <v>44385</v>
      </c>
      <c r="E4">
        <v>6</v>
      </c>
      <c r="F4" s="25">
        <v>90</v>
      </c>
      <c r="G4" s="25">
        <f>Table8[[#This Row],[Number of Units]]*Table8[[#This Row],[Purchase Price]]</f>
        <v>540</v>
      </c>
      <c r="H4" cm="1" vm="2">
        <f t="array" aca="1" ref="H4" ca="1">_xlfn.STOCKHISTORY(B4, TODAY()-1, TODAY(), 1, 0, 2)</f>
        <v>423.2</v>
      </c>
      <c r="I4">
        <f ca="1">Table8[[#This Row],[Number of Units]]*Table8[[#This Row],[Current Market Price]]</f>
        <v>2539.1999999999998</v>
      </c>
      <c r="J4">
        <v>8</v>
      </c>
      <c r="K4" t="s">
        <v>54</v>
      </c>
      <c r="L4" t="s">
        <v>49</v>
      </c>
      <c r="M4" s="24">
        <f ca="1">((Table8[[#This Row],[Current Value of Investment]]-Table8[[#This Row],[Total Cost]])/Table8[[#This Row],[Total Cost]])</f>
        <v>3.7022222222222219</v>
      </c>
      <c r="P4" t="s">
        <v>53</v>
      </c>
      <c r="Q4" t="s">
        <v>54</v>
      </c>
      <c r="R4" t="s">
        <v>55</v>
      </c>
    </row>
    <row r="5" spans="1:18" ht="16.2" customHeight="1" x14ac:dyDescent="0.3">
      <c r="B5" t="s">
        <v>76</v>
      </c>
      <c r="C5" t="s">
        <v>53</v>
      </c>
      <c r="D5" s="13">
        <v>45605</v>
      </c>
      <c r="E5">
        <v>1</v>
      </c>
      <c r="F5" s="25">
        <v>1000</v>
      </c>
      <c r="G5" s="25">
        <f>Table8[[#This Row],[Number of Units]]*Table8[[#This Row],[Purchase Price]]</f>
        <v>1000</v>
      </c>
      <c r="H5" cm="1" vm="3">
        <f t="array" aca="1" ref="H5" ca="1">_xlfn.STOCKHISTORY(B5, TODAY()-1, TODAY(), 1, 0, 2)</f>
        <v>302.52999999999997</v>
      </c>
      <c r="I5">
        <f ca="1">Table8[[#This Row],[Number of Units]]*Table8[[#This Row],[Current Market Price]]</f>
        <v>302.52999999999997</v>
      </c>
      <c r="J5">
        <v>2</v>
      </c>
      <c r="K5" t="s">
        <v>60</v>
      </c>
      <c r="L5" t="s">
        <v>49</v>
      </c>
      <c r="M5" s="24">
        <f ca="1">((Table8[[#This Row],[Current Value of Investment]]-Table8[[#This Row],[Total Cost]])/Table8[[#This Row],[Total Cost]])</f>
        <v>-0.69747000000000003</v>
      </c>
      <c r="P5" t="s">
        <v>59</v>
      </c>
      <c r="Q5" t="s">
        <v>60</v>
      </c>
    </row>
    <row r="6" spans="1:18" x14ac:dyDescent="0.3">
      <c r="B6" t="s">
        <v>78</v>
      </c>
      <c r="C6" t="s">
        <v>75</v>
      </c>
      <c r="D6" s="13">
        <v>45544</v>
      </c>
      <c r="E6">
        <v>1</v>
      </c>
      <c r="F6" s="25">
        <v>1000</v>
      </c>
      <c r="G6" s="25">
        <f>Table8[[#This Row],[Number of Units]]*Table8[[#This Row],[Purchase Price]]</f>
        <v>1000</v>
      </c>
      <c r="H6" cm="1" vm="4">
        <f t="array" aca="1" ref="H6" ca="1">_xlfn.STOCKHISTORY(B6, TODAY()-1, TODAY(), 1, 0, 2)</f>
        <v>63.54</v>
      </c>
      <c r="I6">
        <f ca="1">Table8[[#This Row],[Number of Units]]*Table8[[#This Row],[Current Market Price]]</f>
        <v>63.54</v>
      </c>
      <c r="J6">
        <v>1</v>
      </c>
      <c r="K6" t="s">
        <v>54</v>
      </c>
      <c r="L6" t="s">
        <v>49</v>
      </c>
      <c r="M6" s="24">
        <f ca="1">((Table8[[#This Row],[Current Value of Investment]]-Table8[[#This Row],[Total Cost]])/Table8[[#This Row],[Total Cost]])</f>
        <v>-0.93646000000000007</v>
      </c>
      <c r="P6" s="42"/>
    </row>
    <row r="7" spans="1:18" x14ac:dyDescent="0.3">
      <c r="B7" t="s">
        <v>95</v>
      </c>
      <c r="C7" t="s">
        <v>47</v>
      </c>
      <c r="D7" s="13">
        <v>45544</v>
      </c>
      <c r="E7">
        <v>1</v>
      </c>
      <c r="F7" s="25">
        <v>200</v>
      </c>
      <c r="G7" s="25">
        <f>Table8[[#This Row],[Number of Units]]*Table8[[#This Row],[Purchase Price]]</f>
        <v>200</v>
      </c>
      <c r="H7" cm="1" vm="5">
        <f t="array" aca="1" ref="H7" ca="1">_xlfn.STOCKHISTORY(B7, TODAY()-1, TODAY(), 1, 0, 2)</f>
        <v>111.47</v>
      </c>
      <c r="I7">
        <f ca="1">Table8[[#This Row],[Number of Units]]*Table8[[#This Row],[Current Market Price]]</f>
        <v>111.47</v>
      </c>
      <c r="J7">
        <v>5</v>
      </c>
      <c r="K7" t="s">
        <v>54</v>
      </c>
      <c r="L7" t="s">
        <v>96</v>
      </c>
      <c r="M7" s="24">
        <f ca="1">((Table8[[#This Row],[Current Value of Investment]]-Table8[[#This Row],[Total Cost]])/Table8[[#This Row],[Total Cost]])</f>
        <v>-0.44264999999999999</v>
      </c>
    </row>
    <row r="8" spans="1:18" x14ac:dyDescent="0.3">
      <c r="D8" s="13"/>
    </row>
  </sheetData>
  <mergeCells count="1">
    <mergeCell ref="A1:M1"/>
  </mergeCells>
  <conditionalFormatting sqref="J2:J7">
    <cfRule type="colorScale" priority="5">
      <colorScale>
        <cfvo type="min"/>
        <cfvo type="max"/>
        <color rgb="FFFCFCFF"/>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9552B-9A70-4E62-A0B5-A455DA58AA03}">
  <sheetPr codeName="Sheet11"/>
  <dimension ref="A1:S15"/>
  <sheetViews>
    <sheetView topLeftCell="G1" zoomScale="85" zoomScaleNormal="85" workbookViewId="0">
      <selection activeCell="R4" sqref="R4"/>
    </sheetView>
  </sheetViews>
  <sheetFormatPr defaultRowHeight="14.4" x14ac:dyDescent="0.3"/>
  <cols>
    <col min="1" max="1" width="12.44140625" customWidth="1"/>
    <col min="6" max="6" width="5.44140625" customWidth="1"/>
    <col min="7" max="7" width="15.88671875" customWidth="1"/>
    <col min="8" max="8" width="18.109375" customWidth="1"/>
    <col min="9" max="9" width="17.77734375" customWidth="1"/>
    <col min="10" max="10" width="13.6640625" customWidth="1"/>
    <col min="11" max="11" width="13.21875" customWidth="1"/>
    <col min="12" max="12" width="4.77734375" customWidth="1"/>
    <col min="13" max="13" width="21.5546875" customWidth="1"/>
    <col min="14" max="14" width="16.88671875" customWidth="1"/>
    <col min="15" max="15" width="16.44140625" customWidth="1"/>
    <col min="17" max="17" width="4.5546875" customWidth="1"/>
    <col min="18" max="18" width="21.109375" customWidth="1"/>
    <col min="19" max="19" width="21.6640625" customWidth="1"/>
  </cols>
  <sheetData>
    <row r="1" spans="1:19" s="1" customFormat="1" ht="37.799999999999997" customHeight="1" x14ac:dyDescent="0.3">
      <c r="A1" s="64" t="s">
        <v>62</v>
      </c>
      <c r="B1" s="64"/>
      <c r="C1" s="64"/>
      <c r="D1" s="64"/>
      <c r="E1" s="64"/>
      <c r="F1" s="64"/>
      <c r="G1" s="64"/>
      <c r="H1" s="64"/>
      <c r="I1" s="64"/>
      <c r="J1" s="64"/>
      <c r="K1" s="64"/>
      <c r="L1" s="64"/>
    </row>
    <row r="2" spans="1:19" ht="18" x14ac:dyDescent="0.35">
      <c r="A2" s="6" t="s">
        <v>2</v>
      </c>
      <c r="G2" s="65" t="s">
        <v>50</v>
      </c>
      <c r="H2" s="65"/>
      <c r="I2" s="65"/>
      <c r="J2" s="65"/>
      <c r="K2" s="65"/>
      <c r="M2" s="65" t="s">
        <v>51</v>
      </c>
      <c r="N2" s="65"/>
      <c r="O2" s="65"/>
      <c r="P2" s="65"/>
      <c r="R2" s="65" t="s">
        <v>56</v>
      </c>
      <c r="S2" s="65"/>
    </row>
    <row r="3" spans="1:19" x14ac:dyDescent="0.3">
      <c r="A3" s="13"/>
      <c r="G3" s="12" t="s">
        <v>0</v>
      </c>
      <c r="H3" s="8" t="s">
        <v>13</v>
      </c>
      <c r="I3" s="8" t="s">
        <v>7</v>
      </c>
      <c r="J3" s="8" t="s">
        <v>1</v>
      </c>
      <c r="K3" s="9" t="s">
        <v>12</v>
      </c>
      <c r="M3" s="12" t="s">
        <v>30</v>
      </c>
      <c r="N3" s="8" t="s">
        <v>0</v>
      </c>
      <c r="O3" s="8" t="s">
        <v>10</v>
      </c>
      <c r="P3" s="9" t="s">
        <v>11</v>
      </c>
      <c r="R3" s="10" t="s">
        <v>32</v>
      </c>
      <c r="S3" s="10" t="s">
        <v>74</v>
      </c>
    </row>
    <row r="4" spans="1:19" ht="15.6" x14ac:dyDescent="0.3">
      <c r="A4" s="6" t="s">
        <v>52</v>
      </c>
      <c r="G4" s="13"/>
      <c r="I4" s="32"/>
      <c r="M4" s="13"/>
      <c r="N4" s="13"/>
      <c r="O4" s="32"/>
      <c r="S4" s="25"/>
    </row>
    <row r="5" spans="1:19" x14ac:dyDescent="0.3">
      <c r="A5" s="13"/>
      <c r="G5" s="13"/>
      <c r="I5" s="32"/>
      <c r="M5" s="13"/>
      <c r="N5" s="13"/>
      <c r="O5" s="32"/>
      <c r="S5" s="25"/>
    </row>
    <row r="6" spans="1:19" x14ac:dyDescent="0.3">
      <c r="G6" s="13"/>
      <c r="I6" s="32"/>
      <c r="M6" s="13"/>
      <c r="N6" s="13"/>
      <c r="O6" s="32"/>
    </row>
    <row r="7" spans="1:19" x14ac:dyDescent="0.3">
      <c r="G7" s="13"/>
      <c r="I7" s="32"/>
      <c r="M7" s="13"/>
      <c r="N7" s="13"/>
      <c r="O7" s="32"/>
    </row>
    <row r="8" spans="1:19" x14ac:dyDescent="0.3">
      <c r="G8" s="13"/>
      <c r="I8" s="32"/>
      <c r="M8" s="13"/>
      <c r="N8" s="13"/>
      <c r="O8" s="32"/>
    </row>
    <row r="9" spans="1:19" x14ac:dyDescent="0.3">
      <c r="G9" s="13"/>
      <c r="I9" s="32"/>
      <c r="M9" s="13"/>
      <c r="N9" s="13"/>
      <c r="O9" s="32"/>
    </row>
    <row r="10" spans="1:19" x14ac:dyDescent="0.3">
      <c r="G10" s="13"/>
      <c r="I10" s="32"/>
      <c r="J10" s="13"/>
      <c r="M10" s="13"/>
      <c r="N10" s="13"/>
      <c r="O10" s="32"/>
    </row>
    <row r="11" spans="1:19" x14ac:dyDescent="0.3">
      <c r="G11" s="13"/>
      <c r="I11" s="32"/>
      <c r="M11" s="13"/>
      <c r="N11" s="13"/>
      <c r="O11" s="32"/>
    </row>
    <row r="12" spans="1:19" x14ac:dyDescent="0.3">
      <c r="G12" s="13"/>
      <c r="I12" s="32"/>
      <c r="M12" s="13"/>
      <c r="N12" s="13"/>
      <c r="O12" s="32"/>
    </row>
    <row r="13" spans="1:19" x14ac:dyDescent="0.3">
      <c r="G13" s="13"/>
      <c r="I13" s="32"/>
      <c r="N13" s="13"/>
      <c r="O13" s="32"/>
    </row>
    <row r="14" spans="1:19" x14ac:dyDescent="0.3">
      <c r="G14" s="13"/>
      <c r="I14" s="32"/>
      <c r="N14" s="13"/>
      <c r="O14" s="32"/>
    </row>
    <row r="15" spans="1:19" x14ac:dyDescent="0.3">
      <c r="G15" s="13"/>
      <c r="I15" s="25"/>
      <c r="N15" s="13"/>
      <c r="O15" s="41"/>
    </row>
  </sheetData>
  <mergeCells count="4">
    <mergeCell ref="A1:L1"/>
    <mergeCell ref="G2:K2"/>
    <mergeCell ref="M2:P2"/>
    <mergeCell ref="R2:S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19240-9929-476D-BA0F-2D844F48C0CC}">
  <sheetPr codeName="Sheet8"/>
  <dimension ref="A1:M7"/>
  <sheetViews>
    <sheetView zoomScale="82" zoomScaleNormal="130" workbookViewId="0">
      <selection activeCell="F9" sqref="F9"/>
    </sheetView>
  </sheetViews>
  <sheetFormatPr defaultRowHeight="14.4" x14ac:dyDescent="0.3"/>
  <cols>
    <col min="2" max="2" width="23.21875" customWidth="1"/>
    <col min="3" max="3" width="17.109375" customWidth="1"/>
    <col min="4" max="4" width="19.44140625" customWidth="1"/>
    <col min="5" max="5" width="14.21875" customWidth="1"/>
    <col min="6" max="6" width="26.77734375" customWidth="1"/>
    <col min="7" max="7" width="22.6640625" customWidth="1"/>
    <col min="8" max="8" width="20.5546875" customWidth="1"/>
    <col min="9" max="9" width="12.21875" customWidth="1"/>
  </cols>
  <sheetData>
    <row r="1" spans="1:13" s="1" customFormat="1" ht="43.2" customHeight="1" x14ac:dyDescent="0.3">
      <c r="A1" s="61" t="s">
        <v>3</v>
      </c>
      <c r="B1" s="61"/>
      <c r="C1" s="61"/>
      <c r="D1" s="61"/>
      <c r="E1" s="61"/>
      <c r="F1" s="61"/>
      <c r="G1" s="61"/>
      <c r="H1" s="61"/>
      <c r="I1" s="3"/>
      <c r="J1" s="3"/>
      <c r="K1" s="3"/>
      <c r="L1" s="3"/>
      <c r="M1" s="3"/>
    </row>
    <row r="2" spans="1:13" s="2" customFormat="1" ht="20.399999999999999" customHeight="1" x14ac:dyDescent="0.3">
      <c r="B2" s="38" t="s">
        <v>25</v>
      </c>
      <c r="C2" s="39" t="s">
        <v>26</v>
      </c>
      <c r="D2" s="39" t="s">
        <v>27</v>
      </c>
      <c r="E2" s="39" t="s">
        <v>63</v>
      </c>
      <c r="F2" s="39" t="s">
        <v>28</v>
      </c>
      <c r="G2" s="39" t="s">
        <v>29</v>
      </c>
      <c r="H2" s="18"/>
      <c r="I2" s="18"/>
    </row>
    <row r="3" spans="1:13" ht="14.4" customHeight="1" x14ac:dyDescent="0.3">
      <c r="B3" t="s">
        <v>64</v>
      </c>
      <c r="C3" s="25">
        <v>9000</v>
      </c>
      <c r="D3" s="25">
        <v>43</v>
      </c>
      <c r="E3" s="13">
        <v>45617</v>
      </c>
      <c r="F3" s="13">
        <v>47370</v>
      </c>
      <c r="G3" s="24">
        <f>(D3/C3)</f>
        <v>4.7777777777777775E-3</v>
      </c>
      <c r="H3" s="23"/>
    </row>
    <row r="4" spans="1:13" x14ac:dyDescent="0.3">
      <c r="B4" t="s">
        <v>71</v>
      </c>
      <c r="C4" s="25">
        <v>300</v>
      </c>
      <c r="D4" s="25">
        <v>10</v>
      </c>
      <c r="E4" s="13">
        <v>45544</v>
      </c>
      <c r="F4" s="13">
        <v>45852</v>
      </c>
      <c r="G4" s="24">
        <v>3.3300000000000003E-2</v>
      </c>
    </row>
    <row r="5" spans="1:13" x14ac:dyDescent="0.3">
      <c r="B5" t="s">
        <v>73</v>
      </c>
      <c r="C5" s="25">
        <v>10000</v>
      </c>
      <c r="D5" s="25">
        <v>0</v>
      </c>
      <c r="E5" s="13">
        <v>46002</v>
      </c>
      <c r="F5" s="13">
        <v>47370</v>
      </c>
      <c r="G5" s="24">
        <v>0</v>
      </c>
    </row>
    <row r="6" spans="1:13" x14ac:dyDescent="0.3">
      <c r="G6" s="24"/>
    </row>
    <row r="7" spans="1:13" x14ac:dyDescent="0.3">
      <c r="G7" s="24"/>
    </row>
  </sheetData>
  <mergeCells count="1">
    <mergeCell ref="A1:H1"/>
  </mergeCells>
  <conditionalFormatting sqref="G1:G1048576">
    <cfRule type="dataBar" priority="1">
      <dataBar>
        <cfvo type="min"/>
        <cfvo type="max"/>
        <color rgb="FF638EC6"/>
      </dataBar>
      <extLst>
        <ext xmlns:x14="http://schemas.microsoft.com/office/spreadsheetml/2009/9/main" uri="{B025F937-C7B1-47D3-B67F-A62EFF666E3E}">
          <x14:id>{C629D3CE-BE7F-499B-BCFB-F65F5B75DF8C}</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C629D3CE-BE7F-499B-BCFB-F65F5B75DF8C}">
            <x14:dataBar minLength="0" maxLength="100" border="1" negativeBarBorderColorSameAsPositive="0">
              <x14:cfvo type="autoMin"/>
              <x14:cfvo type="autoMax"/>
              <x14:borderColor rgb="FF638EC6"/>
              <x14:negativeFillColor rgb="FFFF0000"/>
              <x14:negativeBorderColor rgb="FFFF0000"/>
              <x14:axisColor rgb="FF000000"/>
            </x14:dataBar>
          </x14:cfRule>
          <xm:sqref>G1:G1048576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768B3-FB5E-4209-9EAE-659084B12FE7}">
  <sheetPr codeName="Sheet1"/>
  <dimension ref="A1:V44"/>
  <sheetViews>
    <sheetView zoomScale="75" zoomScaleNormal="100" workbookViewId="0">
      <selection activeCell="B13" sqref="B13"/>
    </sheetView>
  </sheetViews>
  <sheetFormatPr defaultRowHeight="14.4" x14ac:dyDescent="0.3"/>
  <cols>
    <col min="1" max="1" width="17.109375" bestFit="1" customWidth="1"/>
    <col min="2" max="2" width="24.21875" bestFit="1" customWidth="1"/>
    <col min="3" max="3" width="11.88671875" customWidth="1"/>
    <col min="4" max="4" width="18.6640625" bestFit="1" customWidth="1"/>
    <col min="5" max="5" width="24.33203125" bestFit="1" customWidth="1"/>
    <col min="6" max="6" width="13" bestFit="1" customWidth="1"/>
    <col min="7" max="8" width="11" bestFit="1" customWidth="1"/>
    <col min="9" max="9" width="9.33203125" bestFit="1" customWidth="1"/>
    <col min="10" max="10" width="13" bestFit="1" customWidth="1"/>
    <col min="11" max="11" width="9.21875" bestFit="1" customWidth="1"/>
    <col min="12" max="12" width="10.77734375" bestFit="1" customWidth="1"/>
    <col min="13" max="13" width="12.33203125" customWidth="1"/>
    <col min="14" max="14" width="17.44140625" bestFit="1" customWidth="1"/>
    <col min="15" max="15" width="13" bestFit="1" customWidth="1"/>
    <col min="16" max="16" width="23.33203125" bestFit="1" customWidth="1"/>
    <col min="17" max="17" width="17.44140625" bestFit="1" customWidth="1"/>
    <col min="18" max="18" width="20" bestFit="1" customWidth="1"/>
    <col min="19" max="19" width="25.44140625" bestFit="1" customWidth="1"/>
    <col min="20" max="20" width="9.77734375" bestFit="1" customWidth="1"/>
    <col min="21" max="21" width="20.21875" bestFit="1" customWidth="1"/>
    <col min="22" max="22" width="16.6640625" bestFit="1" customWidth="1"/>
    <col min="23" max="23" width="11.33203125" bestFit="1" customWidth="1"/>
    <col min="24" max="24" width="10.44140625" customWidth="1"/>
    <col min="25" max="25" width="17.44140625" customWidth="1"/>
    <col min="26" max="26" width="21.44140625" bestFit="1" customWidth="1"/>
    <col min="27" max="27" width="10.33203125" bestFit="1" customWidth="1"/>
    <col min="28" max="28" width="11" bestFit="1" customWidth="1"/>
  </cols>
  <sheetData>
    <row r="1" spans="1:22" s="1" customFormat="1" ht="31.2" x14ac:dyDescent="0.3">
      <c r="A1" s="66" t="s">
        <v>57</v>
      </c>
      <c r="B1" s="66"/>
      <c r="C1" s="66"/>
      <c r="D1" s="66"/>
      <c r="E1" s="66"/>
      <c r="F1" s="66"/>
      <c r="G1" s="66"/>
      <c r="H1" s="66"/>
      <c r="I1" s="33"/>
      <c r="J1" s="33"/>
      <c r="K1" s="33"/>
      <c r="L1" s="33"/>
    </row>
    <row r="2" spans="1:22" ht="18" x14ac:dyDescent="0.3">
      <c r="A2" s="67" t="s">
        <v>84</v>
      </c>
      <c r="B2" s="67"/>
      <c r="C2" s="67"/>
      <c r="D2" s="67"/>
      <c r="E2" s="67"/>
      <c r="F2" s="67"/>
      <c r="G2" s="67"/>
      <c r="H2" s="67"/>
      <c r="I2" s="67"/>
      <c r="J2" s="67"/>
      <c r="K2" s="67"/>
      <c r="L2" s="67"/>
      <c r="N2" s="67" t="s">
        <v>22</v>
      </c>
      <c r="O2" s="67"/>
      <c r="P2" s="67"/>
      <c r="Q2" s="67"/>
      <c r="R2" s="67"/>
      <c r="S2" s="67"/>
      <c r="U2" s="67" t="s">
        <v>67</v>
      </c>
      <c r="V2" s="67"/>
    </row>
    <row r="3" spans="1:22" x14ac:dyDescent="0.3">
      <c r="D3" s="34" t="s">
        <v>1</v>
      </c>
      <c r="E3" t="s">
        <v>82</v>
      </c>
    </row>
    <row r="4" spans="1:22" x14ac:dyDescent="0.3">
      <c r="A4" s="34" t="s">
        <v>1</v>
      </c>
      <c r="B4" t="s">
        <v>82</v>
      </c>
      <c r="D4" s="34" t="s">
        <v>12</v>
      </c>
      <c r="E4" t="s">
        <v>82</v>
      </c>
      <c r="N4" s="34" t="s">
        <v>23</v>
      </c>
      <c r="O4" t="s">
        <v>82</v>
      </c>
      <c r="Q4" s="34" t="s">
        <v>15</v>
      </c>
      <c r="R4" t="s">
        <v>82</v>
      </c>
      <c r="U4" s="34" t="s">
        <v>79</v>
      </c>
      <c r="V4" t="s">
        <v>106</v>
      </c>
    </row>
    <row r="5" spans="1:22" x14ac:dyDescent="0.3">
      <c r="A5" s="34" t="s">
        <v>13</v>
      </c>
      <c r="B5" t="s">
        <v>82</v>
      </c>
      <c r="D5" s="34" t="s">
        <v>109</v>
      </c>
      <c r="E5" t="s">
        <v>82</v>
      </c>
      <c r="N5" s="34" t="s">
        <v>22</v>
      </c>
      <c r="O5" t="s">
        <v>82</v>
      </c>
      <c r="Q5" s="34" t="s">
        <v>21</v>
      </c>
      <c r="R5" t="s">
        <v>82</v>
      </c>
      <c r="U5" s="35" t="s">
        <v>71</v>
      </c>
      <c r="V5" s="40">
        <v>3.3300000000000003E-2</v>
      </c>
    </row>
    <row r="6" spans="1:22" x14ac:dyDescent="0.3">
      <c r="N6" s="34" t="s">
        <v>21</v>
      </c>
      <c r="O6" t="s">
        <v>82</v>
      </c>
      <c r="Q6" s="34" t="s">
        <v>23</v>
      </c>
      <c r="R6" t="s">
        <v>82</v>
      </c>
      <c r="U6" s="35" t="s">
        <v>73</v>
      </c>
      <c r="V6" s="40">
        <v>0</v>
      </c>
    </row>
    <row r="7" spans="1:22" x14ac:dyDescent="0.3">
      <c r="A7" s="34" t="s">
        <v>79</v>
      </c>
      <c r="B7" t="s">
        <v>81</v>
      </c>
      <c r="D7" s="34" t="s">
        <v>79</v>
      </c>
      <c r="E7" t="s">
        <v>81</v>
      </c>
      <c r="N7" s="34" t="s">
        <v>15</v>
      </c>
      <c r="O7" t="s">
        <v>82</v>
      </c>
      <c r="Q7" s="34" t="s">
        <v>22</v>
      </c>
      <c r="R7" t="s">
        <v>82</v>
      </c>
      <c r="U7" s="35" t="s">
        <v>64</v>
      </c>
      <c r="V7" s="40">
        <v>4.7777777777777775E-3</v>
      </c>
    </row>
    <row r="8" spans="1:22" x14ac:dyDescent="0.3">
      <c r="A8" s="35" t="s">
        <v>46</v>
      </c>
      <c r="B8" s="36">
        <v>250</v>
      </c>
      <c r="D8" s="35" t="s">
        <v>33</v>
      </c>
      <c r="E8" s="36">
        <v>2450</v>
      </c>
      <c r="U8" s="35" t="s">
        <v>80</v>
      </c>
      <c r="V8" s="40">
        <v>3.807777777777778E-2</v>
      </c>
    </row>
    <row r="9" spans="1:22" x14ac:dyDescent="0.3">
      <c r="A9" s="35" t="s">
        <v>61</v>
      </c>
      <c r="B9" s="36">
        <v>1200</v>
      </c>
      <c r="D9" s="35" t="s">
        <v>34</v>
      </c>
      <c r="E9" s="36">
        <v>303</v>
      </c>
      <c r="N9" s="34" t="s">
        <v>79</v>
      </c>
      <c r="O9" t="s">
        <v>97</v>
      </c>
      <c r="Q9" s="34" t="s">
        <v>79</v>
      </c>
      <c r="R9" t="s">
        <v>87</v>
      </c>
      <c r="S9" t="s">
        <v>98</v>
      </c>
    </row>
    <row r="10" spans="1:22" x14ac:dyDescent="0.3">
      <c r="A10" s="35" t="s">
        <v>45</v>
      </c>
      <c r="B10" s="36">
        <v>303</v>
      </c>
      <c r="D10" s="35" t="s">
        <v>36</v>
      </c>
      <c r="E10" s="36">
        <v>10</v>
      </c>
      <c r="N10" s="35" t="s">
        <v>46</v>
      </c>
      <c r="O10" s="40">
        <v>3.6292</v>
      </c>
      <c r="Q10" s="35" t="s">
        <v>46</v>
      </c>
      <c r="R10" s="36">
        <v>50</v>
      </c>
      <c r="S10" s="43">
        <v>231.46</v>
      </c>
    </row>
    <row r="11" spans="1:22" x14ac:dyDescent="0.3">
      <c r="A11" s="35" t="s">
        <v>43</v>
      </c>
      <c r="B11" s="36">
        <v>610</v>
      </c>
      <c r="D11" s="35" t="s">
        <v>35</v>
      </c>
      <c r="E11" s="36">
        <v>300</v>
      </c>
      <c r="N11" s="35" t="s">
        <v>78</v>
      </c>
      <c r="O11" s="40">
        <v>-0.93446000000000007</v>
      </c>
      <c r="Q11" s="35" t="s">
        <v>78</v>
      </c>
      <c r="R11" s="36">
        <v>1000</v>
      </c>
      <c r="S11" s="43">
        <v>65.540000000000006</v>
      </c>
    </row>
    <row r="12" spans="1:22" x14ac:dyDescent="0.3">
      <c r="A12" s="35" t="s">
        <v>58</v>
      </c>
      <c r="B12" s="36">
        <v>400</v>
      </c>
      <c r="D12" s="35" t="s">
        <v>80</v>
      </c>
      <c r="E12" s="36">
        <v>3063</v>
      </c>
      <c r="N12" s="35" t="s">
        <v>95</v>
      </c>
      <c r="O12" s="40">
        <v>-0.42159999999999997</v>
      </c>
      <c r="Q12" s="35" t="s">
        <v>95</v>
      </c>
      <c r="R12" s="36">
        <v>200</v>
      </c>
      <c r="S12" s="43">
        <v>115.68</v>
      </c>
    </row>
    <row r="13" spans="1:22" x14ac:dyDescent="0.3">
      <c r="A13" s="35" t="s">
        <v>33</v>
      </c>
      <c r="B13" s="36">
        <v>300</v>
      </c>
      <c r="N13" s="35" t="s">
        <v>76</v>
      </c>
      <c r="O13" s="40">
        <v>-0.66116000000000008</v>
      </c>
      <c r="Q13" s="35" t="s">
        <v>76</v>
      </c>
      <c r="R13" s="36">
        <v>1000</v>
      </c>
      <c r="S13" s="43">
        <v>338.84</v>
      </c>
    </row>
    <row r="14" spans="1:22" x14ac:dyDescent="0.3">
      <c r="A14" s="35" t="s">
        <v>80</v>
      </c>
      <c r="B14" s="36">
        <v>3063</v>
      </c>
      <c r="N14" s="35" t="s">
        <v>58</v>
      </c>
      <c r="O14" s="40">
        <v>3.001555555555556</v>
      </c>
      <c r="Q14" s="35" t="s">
        <v>58</v>
      </c>
      <c r="R14" s="36">
        <v>90</v>
      </c>
      <c r="S14" s="43">
        <v>360.14</v>
      </c>
    </row>
    <row r="15" spans="1:22" ht="18" x14ac:dyDescent="0.3">
      <c r="A15" s="67" t="s">
        <v>89</v>
      </c>
      <c r="B15" s="67"/>
      <c r="C15" s="67"/>
      <c r="D15" s="67"/>
      <c r="E15" s="67"/>
      <c r="F15" s="67"/>
      <c r="G15" s="67"/>
      <c r="H15" s="67"/>
      <c r="I15" s="67"/>
      <c r="J15" s="67"/>
      <c r="N15" s="35" t="s">
        <v>80</v>
      </c>
      <c r="O15" s="40">
        <v>4.6135355555555559</v>
      </c>
      <c r="Q15" s="35" t="s">
        <v>80</v>
      </c>
      <c r="R15" s="36">
        <v>2340</v>
      </c>
      <c r="S15" s="43">
        <v>1111.6599999999999</v>
      </c>
    </row>
    <row r="16" spans="1:22" x14ac:dyDescent="0.3">
      <c r="A16" t="s">
        <v>0</v>
      </c>
      <c r="B16" t="s">
        <v>32</v>
      </c>
      <c r="C16" t="s">
        <v>90</v>
      </c>
      <c r="D16" t="s">
        <v>91</v>
      </c>
    </row>
    <row r="17" spans="1:16" x14ac:dyDescent="0.3">
      <c r="A17" s="13">
        <v>44083</v>
      </c>
      <c r="B17" t="s">
        <v>36</v>
      </c>
      <c r="C17" s="41">
        <v>10</v>
      </c>
      <c r="D17" t="s">
        <v>84</v>
      </c>
    </row>
    <row r="18" spans="1:16" ht="18" x14ac:dyDescent="0.3">
      <c r="A18" s="13">
        <v>44930</v>
      </c>
      <c r="B18" t="s">
        <v>34</v>
      </c>
      <c r="C18" s="41">
        <v>123</v>
      </c>
      <c r="D18" t="s">
        <v>84</v>
      </c>
      <c r="O18" s="67" t="s">
        <v>85</v>
      </c>
      <c r="P18" s="67"/>
    </row>
    <row r="19" spans="1:16" x14ac:dyDescent="0.3">
      <c r="A19" s="13">
        <v>44930</v>
      </c>
      <c r="B19" t="s">
        <v>33</v>
      </c>
      <c r="C19" s="41">
        <v>400</v>
      </c>
      <c r="D19" t="s">
        <v>84</v>
      </c>
      <c r="O19" s="34" t="s">
        <v>11</v>
      </c>
      <c r="P19" t="s">
        <v>82</v>
      </c>
    </row>
    <row r="20" spans="1:16" x14ac:dyDescent="0.3">
      <c r="A20" s="13">
        <v>44931</v>
      </c>
      <c r="B20" t="s">
        <v>33</v>
      </c>
      <c r="C20" s="41">
        <v>500</v>
      </c>
      <c r="D20" t="s">
        <v>84</v>
      </c>
      <c r="O20" s="34" t="s">
        <v>30</v>
      </c>
      <c r="P20" t="s">
        <v>82</v>
      </c>
    </row>
    <row r="21" spans="1:16" x14ac:dyDescent="0.3">
      <c r="A21" s="13">
        <v>44963</v>
      </c>
      <c r="B21" t="s">
        <v>33</v>
      </c>
      <c r="C21" s="41">
        <v>70</v>
      </c>
      <c r="D21" t="s">
        <v>84</v>
      </c>
      <c r="E21" s="34" t="s">
        <v>93</v>
      </c>
      <c r="F21" s="34" t="s">
        <v>88</v>
      </c>
    </row>
    <row r="22" spans="1:16" x14ac:dyDescent="0.3">
      <c r="A22" s="13">
        <v>44992</v>
      </c>
      <c r="B22" t="s">
        <v>33</v>
      </c>
      <c r="C22" s="41">
        <v>200</v>
      </c>
      <c r="D22" t="s">
        <v>84</v>
      </c>
      <c r="E22" s="34" t="s">
        <v>79</v>
      </c>
      <c r="F22" t="s">
        <v>33</v>
      </c>
      <c r="G22" t="s">
        <v>35</v>
      </c>
      <c r="H22" t="s">
        <v>34</v>
      </c>
      <c r="I22" t="s">
        <v>36</v>
      </c>
      <c r="J22" t="s">
        <v>80</v>
      </c>
      <c r="O22" s="34" t="s">
        <v>79</v>
      </c>
      <c r="P22" t="s">
        <v>83</v>
      </c>
    </row>
    <row r="23" spans="1:16" x14ac:dyDescent="0.3">
      <c r="A23" s="13">
        <v>44993</v>
      </c>
      <c r="B23" t="s">
        <v>33</v>
      </c>
      <c r="C23" s="41">
        <v>300</v>
      </c>
      <c r="D23" t="s">
        <v>84</v>
      </c>
      <c r="E23" s="35" t="s">
        <v>84</v>
      </c>
      <c r="F23" s="41">
        <v>2450</v>
      </c>
      <c r="G23" s="41">
        <v>300</v>
      </c>
      <c r="H23" s="41">
        <v>303</v>
      </c>
      <c r="I23" s="41">
        <v>10</v>
      </c>
      <c r="J23" s="41">
        <v>3063</v>
      </c>
      <c r="O23" s="35" t="s">
        <v>86</v>
      </c>
      <c r="P23" s="36">
        <v>230</v>
      </c>
    </row>
    <row r="24" spans="1:16" x14ac:dyDescent="0.3">
      <c r="A24" s="13">
        <v>45025</v>
      </c>
      <c r="B24" t="s">
        <v>33</v>
      </c>
      <c r="C24" s="41">
        <v>500</v>
      </c>
      <c r="D24" t="s">
        <v>84</v>
      </c>
      <c r="E24" s="37" t="s">
        <v>99</v>
      </c>
      <c r="F24" s="41">
        <v>900</v>
      </c>
      <c r="G24" s="41"/>
      <c r="H24" s="41">
        <v>123</v>
      </c>
      <c r="I24" s="41"/>
      <c r="J24" s="41">
        <v>1023</v>
      </c>
      <c r="O24" s="35" t="s">
        <v>105</v>
      </c>
      <c r="P24" s="36">
        <v>464</v>
      </c>
    </row>
    <row r="25" spans="1:16" x14ac:dyDescent="0.3">
      <c r="A25" s="13">
        <v>45026</v>
      </c>
      <c r="B25" t="s">
        <v>33</v>
      </c>
      <c r="C25" s="41">
        <v>300</v>
      </c>
      <c r="D25" t="s">
        <v>84</v>
      </c>
      <c r="E25" s="37" t="s">
        <v>100</v>
      </c>
      <c r="F25" s="41">
        <v>70</v>
      </c>
      <c r="G25" s="41"/>
      <c r="H25" s="41"/>
      <c r="I25" s="41"/>
      <c r="J25" s="41">
        <v>70</v>
      </c>
      <c r="O25" s="35" t="s">
        <v>104</v>
      </c>
      <c r="P25" s="36">
        <v>80</v>
      </c>
    </row>
    <row r="26" spans="1:16" x14ac:dyDescent="0.3">
      <c r="A26" s="13">
        <v>45057</v>
      </c>
      <c r="B26" t="s">
        <v>33</v>
      </c>
      <c r="C26" s="41">
        <v>80</v>
      </c>
      <c r="D26" t="s">
        <v>84</v>
      </c>
      <c r="E26" s="37" t="s">
        <v>101</v>
      </c>
      <c r="F26" s="41">
        <v>500</v>
      </c>
      <c r="G26" s="41"/>
      <c r="H26" s="41"/>
      <c r="I26" s="41"/>
      <c r="J26" s="41">
        <v>500</v>
      </c>
      <c r="O26" s="35" t="s">
        <v>80</v>
      </c>
      <c r="P26" s="36">
        <v>774</v>
      </c>
    </row>
    <row r="27" spans="1:16" x14ac:dyDescent="0.3">
      <c r="A27" s="13">
        <v>45058</v>
      </c>
      <c r="B27" t="s">
        <v>33</v>
      </c>
      <c r="C27" s="41">
        <v>100</v>
      </c>
      <c r="D27" t="s">
        <v>84</v>
      </c>
      <c r="E27" s="37" t="s">
        <v>102</v>
      </c>
      <c r="F27" s="41">
        <v>800</v>
      </c>
      <c r="G27" s="41"/>
      <c r="H27" s="41"/>
      <c r="I27" s="41"/>
      <c r="J27" s="41">
        <v>800</v>
      </c>
    </row>
    <row r="28" spans="1:16" x14ac:dyDescent="0.3">
      <c r="A28" s="13">
        <v>45616</v>
      </c>
      <c r="B28" t="s">
        <v>34</v>
      </c>
      <c r="C28" s="41">
        <v>90</v>
      </c>
      <c r="D28" t="s">
        <v>84</v>
      </c>
      <c r="E28" s="37" t="s">
        <v>103</v>
      </c>
      <c r="F28" s="41">
        <v>180</v>
      </c>
      <c r="G28" s="41"/>
      <c r="H28" s="41"/>
      <c r="I28" s="41"/>
      <c r="J28" s="41">
        <v>180</v>
      </c>
    </row>
    <row r="29" spans="1:16" x14ac:dyDescent="0.3">
      <c r="A29" s="13">
        <v>45607</v>
      </c>
      <c r="B29" t="s">
        <v>34</v>
      </c>
      <c r="C29" s="41">
        <v>90</v>
      </c>
      <c r="D29" t="s">
        <v>84</v>
      </c>
      <c r="E29" s="37" t="s">
        <v>86</v>
      </c>
      <c r="F29" s="41"/>
      <c r="G29" s="41"/>
      <c r="H29" s="41"/>
      <c r="I29" s="41">
        <v>10</v>
      </c>
      <c r="J29" s="41">
        <v>10</v>
      </c>
    </row>
    <row r="30" spans="1:16" x14ac:dyDescent="0.3">
      <c r="A30" s="13">
        <v>45607</v>
      </c>
      <c r="B30" t="s">
        <v>35</v>
      </c>
      <c r="C30" s="41">
        <v>300</v>
      </c>
      <c r="D30" t="s">
        <v>84</v>
      </c>
      <c r="E30" s="37" t="s">
        <v>104</v>
      </c>
      <c r="F30" s="41"/>
      <c r="G30" s="41">
        <v>300</v>
      </c>
      <c r="H30" s="41">
        <v>180</v>
      </c>
      <c r="I30" s="41"/>
      <c r="J30" s="41">
        <v>480</v>
      </c>
    </row>
    <row r="31" spans="1:16" x14ac:dyDescent="0.3">
      <c r="A31" s="13">
        <v>39700</v>
      </c>
      <c r="B31" t="s">
        <v>34</v>
      </c>
      <c r="C31" s="41">
        <v>18</v>
      </c>
      <c r="D31" t="s">
        <v>92</v>
      </c>
      <c r="E31" s="35" t="s">
        <v>80</v>
      </c>
      <c r="F31" s="41">
        <v>2450</v>
      </c>
      <c r="G31" s="41">
        <v>300</v>
      </c>
      <c r="H31" s="41">
        <v>303</v>
      </c>
      <c r="I31" s="41">
        <v>10</v>
      </c>
      <c r="J31" s="41">
        <v>3063</v>
      </c>
    </row>
    <row r="32" spans="1:16" x14ac:dyDescent="0.3">
      <c r="A32" s="13">
        <v>45556</v>
      </c>
      <c r="B32" t="s">
        <v>36</v>
      </c>
      <c r="C32" s="41">
        <v>80</v>
      </c>
      <c r="D32" t="s">
        <v>92</v>
      </c>
    </row>
    <row r="33" spans="1:4" x14ac:dyDescent="0.3">
      <c r="A33" s="13">
        <v>45555</v>
      </c>
      <c r="B33" t="s">
        <v>33</v>
      </c>
      <c r="C33" s="41">
        <v>32</v>
      </c>
      <c r="D33" t="s">
        <v>92</v>
      </c>
    </row>
    <row r="34" spans="1:4" x14ac:dyDescent="0.3">
      <c r="A34" s="13">
        <v>45573</v>
      </c>
      <c r="B34" t="s">
        <v>35</v>
      </c>
      <c r="C34" s="41">
        <v>44</v>
      </c>
      <c r="D34" t="s">
        <v>92</v>
      </c>
    </row>
    <row r="35" spans="1:4" x14ac:dyDescent="0.3">
      <c r="A35" s="13">
        <v>45573</v>
      </c>
      <c r="B35" t="s">
        <v>33</v>
      </c>
      <c r="C35" s="41">
        <v>90</v>
      </c>
      <c r="D35" t="s">
        <v>92</v>
      </c>
    </row>
    <row r="36" spans="1:4" x14ac:dyDescent="0.3">
      <c r="A36" s="13">
        <v>45575</v>
      </c>
      <c r="B36" t="s">
        <v>35</v>
      </c>
      <c r="C36" s="41">
        <v>80</v>
      </c>
      <c r="D36" t="s">
        <v>92</v>
      </c>
    </row>
    <row r="37" spans="1:4" x14ac:dyDescent="0.3">
      <c r="A37" s="13">
        <v>45573</v>
      </c>
      <c r="B37" t="s">
        <v>35</v>
      </c>
      <c r="C37" s="41">
        <v>90</v>
      </c>
      <c r="D37" t="s">
        <v>92</v>
      </c>
    </row>
    <row r="38" spans="1:4" x14ac:dyDescent="0.3">
      <c r="A38" s="13">
        <v>45574</v>
      </c>
      <c r="B38" t="s">
        <v>36</v>
      </c>
      <c r="C38" s="41">
        <v>80</v>
      </c>
      <c r="D38" t="s">
        <v>92</v>
      </c>
    </row>
    <row r="39" spans="1:4" x14ac:dyDescent="0.3">
      <c r="A39" s="13">
        <v>45575</v>
      </c>
      <c r="B39" t="s">
        <v>36</v>
      </c>
      <c r="C39" s="41">
        <v>20</v>
      </c>
      <c r="D39" t="s">
        <v>92</v>
      </c>
    </row>
    <row r="40" spans="1:4" x14ac:dyDescent="0.3">
      <c r="A40" s="13">
        <v>45576</v>
      </c>
      <c r="B40" t="s">
        <v>35</v>
      </c>
      <c r="C40" s="41">
        <v>30</v>
      </c>
      <c r="D40" t="s">
        <v>92</v>
      </c>
    </row>
    <row r="41" spans="1:4" x14ac:dyDescent="0.3">
      <c r="A41" s="13">
        <v>45577</v>
      </c>
      <c r="B41" t="s">
        <v>35</v>
      </c>
      <c r="C41" s="41">
        <v>10</v>
      </c>
      <c r="D41" t="s">
        <v>92</v>
      </c>
    </row>
    <row r="42" spans="1:4" x14ac:dyDescent="0.3">
      <c r="A42" s="13">
        <v>45619</v>
      </c>
      <c r="B42" t="s">
        <v>33</v>
      </c>
      <c r="C42" s="41">
        <v>80</v>
      </c>
      <c r="D42" t="s">
        <v>92</v>
      </c>
    </row>
    <row r="43" spans="1:4" x14ac:dyDescent="0.3">
      <c r="A43" s="13">
        <v>45544</v>
      </c>
      <c r="B43" t="s">
        <v>35</v>
      </c>
      <c r="C43" s="41">
        <v>100</v>
      </c>
      <c r="D43" t="s">
        <v>92</v>
      </c>
    </row>
    <row r="44" spans="1:4" x14ac:dyDescent="0.3">
      <c r="A44" s="13">
        <v>45574</v>
      </c>
      <c r="B44" t="s">
        <v>36</v>
      </c>
      <c r="C44" s="41">
        <v>20</v>
      </c>
      <c r="D44" t="s">
        <v>92</v>
      </c>
    </row>
  </sheetData>
  <mergeCells count="6">
    <mergeCell ref="A1:H1"/>
    <mergeCell ref="O18:P18"/>
    <mergeCell ref="A2:L2"/>
    <mergeCell ref="N2:S2"/>
    <mergeCell ref="U2:V2"/>
    <mergeCell ref="A15:J15"/>
  </mergeCells>
  <pageMargins left="0.7" right="0.7" top="0.75" bottom="0.75" header="0.3" footer="0.3"/>
  <pageSetup orientation="portrait" r:id="rId8"/>
  <drawing r:id="rId9"/>
  <tableParts count="1">
    <tablePart r:id="rId1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D362E-42A0-4D0D-BBFF-78C26C5A2D98}">
  <sheetPr codeName="Sheet9"/>
  <dimension ref="A1:N3"/>
  <sheetViews>
    <sheetView tabSelected="1" topLeftCell="B1" zoomScale="106" workbookViewId="0">
      <selection activeCell="L21" sqref="L21"/>
    </sheetView>
  </sheetViews>
  <sheetFormatPr defaultRowHeight="14.4" x14ac:dyDescent="0.3"/>
  <sheetData>
    <row r="1" spans="1:14" s="1" customFormat="1" ht="45.6" customHeight="1" x14ac:dyDescent="0.3">
      <c r="A1" s="26"/>
      <c r="B1" s="61" t="s">
        <v>6</v>
      </c>
      <c r="C1" s="61"/>
      <c r="D1" s="61"/>
      <c r="E1" s="61"/>
      <c r="F1" s="61"/>
      <c r="G1" s="61"/>
      <c r="H1" s="61"/>
      <c r="I1" s="61"/>
      <c r="J1" s="61"/>
      <c r="K1" s="61"/>
      <c r="L1" s="61"/>
      <c r="M1" s="3"/>
      <c r="N1" s="3"/>
    </row>
    <row r="2" spans="1:14" ht="14.4" customHeight="1" x14ac:dyDescent="0.3">
      <c r="A2" s="4"/>
      <c r="B2" s="4"/>
      <c r="C2" s="4"/>
      <c r="D2" s="4"/>
      <c r="E2" s="4"/>
      <c r="F2" s="4"/>
      <c r="G2" s="4"/>
      <c r="H2" s="4"/>
      <c r="I2" s="4"/>
      <c r="J2" s="4"/>
      <c r="K2" s="4"/>
      <c r="L2" s="4"/>
      <c r="M2" s="4"/>
      <c r="N2" s="4"/>
    </row>
    <row r="3" spans="1:14" ht="30.6" customHeight="1" x14ac:dyDescent="0.3">
      <c r="A3" s="4"/>
      <c r="B3" s="68" t="s">
        <v>77</v>
      </c>
      <c r="C3" s="68"/>
      <c r="D3" s="68"/>
      <c r="E3" s="68"/>
      <c r="F3" s="68"/>
      <c r="G3" s="68"/>
      <c r="H3" s="68"/>
      <c r="I3" s="68"/>
      <c r="J3" s="68"/>
      <c r="K3" s="68"/>
      <c r="L3" s="68"/>
      <c r="M3" s="4"/>
      <c r="N3" s="4"/>
    </row>
  </sheetData>
  <mergeCells count="2">
    <mergeCell ref="B3:L3"/>
    <mergeCell ref="B1:L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405EFFFDA9C644486FCCB58A8EA5354" ma:contentTypeVersion="8" ma:contentTypeDescription="Create a new document." ma:contentTypeScope="" ma:versionID="f87f14b1ad7bdd05d7d1a921921b4f06">
  <xsd:schema xmlns:xsd="http://www.w3.org/2001/XMLSchema" xmlns:xs="http://www.w3.org/2001/XMLSchema" xmlns:p="http://schemas.microsoft.com/office/2006/metadata/properties" xmlns:ns2="9ad7a586-468b-408f-bee0-f7f70b225374" targetNamespace="http://schemas.microsoft.com/office/2006/metadata/properties" ma:root="true" ma:fieldsID="5614f9cf915cae2de6f82e8189391a14" ns2:_="">
    <xsd:import namespace="9ad7a586-468b-408f-bee0-f7f70b22537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ad7a586-468b-408f-bee0-f7f70b2253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11EFF735-D625-4A91-91D3-D8AC1CA2884C}">
  <ds:schemaRefs>
    <ds:schemaRef ds:uri="http://purl.org/dc/dcmitype/"/>
    <ds:schemaRef ds:uri="http://schemas.microsoft.com/office/2006/documentManagement/types"/>
    <ds:schemaRef ds:uri="http://purl.org/dc/elements/1.1/"/>
    <ds:schemaRef ds:uri="http://schemas.microsoft.com/office/2006/metadata/properties"/>
    <ds:schemaRef ds:uri="9ad7a586-468b-408f-bee0-f7f70b22537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2.xml><?xml version="1.0" encoding="utf-8"?>
<ds:datastoreItem xmlns:ds="http://schemas.openxmlformats.org/officeDocument/2006/customXml" ds:itemID="{CF4B2EFA-4881-4417-A6C1-DDA014447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ad7a586-468b-408f-bee0-f7f70b2253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F5BF1E7-AB1F-4F81-A675-581015BCADBC}">
  <ds:schemaRefs>
    <ds:schemaRef ds:uri="http://schemas.microsoft.com/sharepoint/v3/contenttype/forms"/>
  </ds:schemaRefs>
</ds:datastoreItem>
</file>

<file path=customXml/itemProps4.xml><?xml version="1.0" encoding="utf-8"?>
<ds:datastoreItem xmlns:ds="http://schemas.openxmlformats.org/officeDocument/2006/customXml" ds:itemID="{AC0147B8-2F15-481C-A14C-E473D1E8C340}">
  <ds:schemaRefs>
    <ds:schemaRef ds:uri="http://schemas.microsoft.com/DataMashup"/>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Income &amp; Expenses Tracker</vt:lpstr>
      <vt:lpstr>Investments Tracker</vt:lpstr>
      <vt:lpstr>Financial Filter</vt:lpstr>
      <vt:lpstr>Goals</vt:lpstr>
      <vt:lpstr>Pivot Tables</vt:lpstr>
      <vt:lpstr>Financial Advice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Nancy Zhou</cp:lastModifiedBy>
  <cp:revision/>
  <dcterms:created xsi:type="dcterms:W3CDTF">2021-10-13T18:04:27Z</dcterms:created>
  <dcterms:modified xsi:type="dcterms:W3CDTF">2025-01-11T21:21:44Z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0x010100A405EFFFDA9C644486FCCB58A8EA5354</vt:lpwstr>
  </property>
</Properties>
</file>